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tem_Master" sheetId="1" state="visible" r:id="rId3"/>
    <sheet name="Sales" sheetId="2" state="visible" r:id="rId4"/>
    <sheet name="Sales_Analysis" sheetId="3" state="visible" r:id="rId5"/>
    <sheet name="Charts" sheetId="4" state="visible" r:id="rId6"/>
    <sheet name="Sheet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<sst xmlns="http://schemas.openxmlformats.org/spreadsheetml/2006/main" count="7818" uniqueCount="4489">
  <si>
    <t xml:space="preserve">Items: Jugaad Hardware &amp; Tools</t>
  </si>
  <si>
    <t xml:space="preserve">Item ID</t>
  </si>
  <si>
    <t xml:space="preserve">Item Name</t>
  </si>
  <si>
    <t xml:space="preserve">Category</t>
  </si>
  <si>
    <t xml:space="preserve">Brand</t>
  </si>
  <si>
    <t xml:space="preserve">Unit</t>
  </si>
  <si>
    <t xml:space="preserve">Cost Price</t>
  </si>
  <si>
    <t xml:space="preserve">Selling Price</t>
  </si>
  <si>
    <t xml:space="preserve">HW-0001</t>
  </si>
  <si>
    <t xml:space="preserve">Dulux Enamel Paint 4L</t>
  </si>
  <si>
    <t xml:space="preserve">Paints &amp; Coatings</t>
  </si>
  <si>
    <t xml:space="preserve">Dulux</t>
  </si>
  <si>
    <t xml:space="preserve">each</t>
  </si>
  <si>
    <t xml:space="preserve">HW-0002</t>
  </si>
  <si>
    <t xml:space="preserve">Philips PVC Wire 2.5 sqmm</t>
  </si>
  <si>
    <t xml:space="preserve">Electrical</t>
  </si>
  <si>
    <t xml:space="preserve">Philips</t>
  </si>
  <si>
    <t xml:space="preserve">HW-0003</t>
  </si>
  <si>
    <t xml:space="preserve">Karam Ear Plugs Silicone</t>
  </si>
  <si>
    <t xml:space="preserve">Safety Gear</t>
  </si>
  <si>
    <t xml:space="preserve">Karam</t>
  </si>
  <si>
    <t xml:space="preserve">HW-0004</t>
  </si>
  <si>
    <t xml:space="preserve">Stanley Claw Hammer 8oz</t>
  </si>
  <si>
    <t xml:space="preserve">Hand Tools</t>
  </si>
  <si>
    <t xml:space="preserve">Stanley</t>
  </si>
  <si>
    <t xml:space="preserve">unit</t>
  </si>
  <si>
    <t xml:space="preserve">HW-0005</t>
  </si>
  <si>
    <t xml:space="preserve">Europa Door Stopper Floor</t>
  </si>
  <si>
    <t xml:space="preserve">Hardware</t>
  </si>
  <si>
    <t xml:space="preserve">Europa</t>
  </si>
  <si>
    <t xml:space="preserve">HW-0006</t>
  </si>
  <si>
    <t xml:space="preserve">Stanley Adjustable Wrench 12 inch</t>
  </si>
  <si>
    <t xml:space="preserve">HW-0007</t>
  </si>
  <si>
    <t xml:space="preserve">Mallcom Safety Harness Full Body</t>
  </si>
  <si>
    <t xml:space="preserve">Mallcom</t>
  </si>
  <si>
    <t xml:space="preserve">HW-0008</t>
  </si>
  <si>
    <t xml:space="preserve">Europa Bracket L-Shape</t>
  </si>
  <si>
    <t xml:space="preserve">HW-0009</t>
  </si>
  <si>
    <t xml:space="preserve">Loctite Masking Tape 24mm</t>
  </si>
  <si>
    <t xml:space="preserve">Adhesives &amp; Sealants</t>
  </si>
  <si>
    <t xml:space="preserve">Loctite</t>
  </si>
  <si>
    <t xml:space="preserve">HW-0010</t>
  </si>
  <si>
    <t xml:space="preserve">3M Safety Goggles Clear</t>
  </si>
  <si>
    <t xml:space="preserve">3M</t>
  </si>
  <si>
    <t xml:space="preserve">HW-0011</t>
  </si>
  <si>
    <t xml:space="preserve">Bosi Screwdriver Set 12 pc</t>
  </si>
  <si>
    <t xml:space="preserve">Bosi</t>
  </si>
  <si>
    <t xml:space="preserve">HW-0012</t>
  </si>
  <si>
    <t xml:space="preserve">TVS Allen Key Set Imperial</t>
  </si>
  <si>
    <t xml:space="preserve">TVS</t>
  </si>
  <si>
    <t xml:space="preserve">pack</t>
  </si>
  <si>
    <t xml:space="preserve">HW-0013</t>
  </si>
  <si>
    <t xml:space="preserve">Crompton Rotary Hammer SDS Plus</t>
  </si>
  <si>
    <t xml:space="preserve">Power Tools</t>
  </si>
  <si>
    <t xml:space="preserve">Crompton</t>
  </si>
  <si>
    <t xml:space="preserve">HW-0014</t>
  </si>
  <si>
    <t xml:space="preserve">Yale Bracket L-Shape</t>
  </si>
  <si>
    <t xml:space="preserve">Yale</t>
  </si>
  <si>
    <t xml:space="preserve">HW-0015</t>
  </si>
  <si>
    <t xml:space="preserve">Taparia Hacksaw Frame Standard</t>
  </si>
  <si>
    <t xml:space="preserve">Taparia</t>
  </si>
  <si>
    <t xml:space="preserve">HW-0016</t>
  </si>
  <si>
    <t xml:space="preserve">Hafele Cabinet Knob Chrome</t>
  </si>
  <si>
    <t xml:space="preserve">Hafele</t>
  </si>
  <si>
    <t xml:space="preserve">HW-0017</t>
  </si>
  <si>
    <t xml:space="preserve">Astral Shower Head Standard</t>
  </si>
  <si>
    <t xml:space="preserve">Plumbing</t>
  </si>
  <si>
    <t xml:space="preserve">Astral</t>
  </si>
  <si>
    <t xml:space="preserve">HW-0018</t>
  </si>
  <si>
    <t xml:space="preserve">Havells LED Bulb 9W</t>
  </si>
  <si>
    <t xml:space="preserve">Havells</t>
  </si>
  <si>
    <t xml:space="preserve">HW-0019</t>
  </si>
  <si>
    <t xml:space="preserve">Anchor Self-tapping Screws No.10</t>
  </si>
  <si>
    <t xml:space="preserve">Fasteners</t>
  </si>
  <si>
    <t xml:space="preserve">Anchor</t>
  </si>
  <si>
    <t xml:space="preserve">HW-0020</t>
  </si>
  <si>
    <t xml:space="preserve">Mallcom Ear Plugs Foam</t>
  </si>
  <si>
    <t xml:space="preserve">HW-0021</t>
  </si>
  <si>
    <t xml:space="preserve">Taparia Spirit Level 12 inch</t>
  </si>
  <si>
    <t xml:space="preserve">HW-0022</t>
  </si>
  <si>
    <t xml:space="preserve">Havells MCB 32A</t>
  </si>
  <si>
    <t xml:space="preserve">HW-0023</t>
  </si>
  <si>
    <t xml:space="preserve">Hafele Door Handle Brass</t>
  </si>
  <si>
    <t xml:space="preserve">HW-0024</t>
  </si>
  <si>
    <t xml:space="preserve">Wolf-Garten Lawn Mower Electric</t>
  </si>
  <si>
    <t xml:space="preserve">Garden Tools</t>
  </si>
  <si>
    <t xml:space="preserve">Wolf-Garten</t>
  </si>
  <si>
    <t xml:space="preserve">HW-0025</t>
  </si>
  <si>
    <t xml:space="preserve">Hettich Cabinet Knob Steel</t>
  </si>
  <si>
    <t xml:space="preserve">Hettich</t>
  </si>
  <si>
    <t xml:space="preserve">HW-0026</t>
  </si>
  <si>
    <t xml:space="preserve">Anchor Anchor Bolts M10</t>
  </si>
  <si>
    <t xml:space="preserve">HW-0027</t>
  </si>
  <si>
    <t xml:space="preserve">Visko Pliers Cutting</t>
  </si>
  <si>
    <t xml:space="preserve">Visko</t>
  </si>
  <si>
    <t xml:space="preserve">HW-0028</t>
  </si>
  <si>
    <t xml:space="preserve">Finolex PVC Wire 4 sqmm</t>
  </si>
  <si>
    <t xml:space="preserve">Finolex</t>
  </si>
  <si>
    <t xml:space="preserve">HW-0029</t>
  </si>
  <si>
    <t xml:space="preserve">Astral Ball Valve 1/2 inch</t>
  </si>
  <si>
    <t xml:space="preserve">HW-0030</t>
  </si>
  <si>
    <t xml:space="preserve">Trustbasket Watering Can 10L</t>
  </si>
  <si>
    <t xml:space="preserve">Trustbasket</t>
  </si>
  <si>
    <t xml:space="preserve">HW-0031</t>
  </si>
  <si>
    <t xml:space="preserve">Hettich Door Stopper Magnetic</t>
  </si>
  <si>
    <t xml:space="preserve">HW-0032</t>
  </si>
  <si>
    <t xml:space="preserve">DeWalt Circular Saw 10 inch</t>
  </si>
  <si>
    <t xml:space="preserve">DeWalt</t>
  </si>
  <si>
    <t xml:space="preserve">HW-0033</t>
  </si>
  <si>
    <t xml:space="preserve">Anchor Exhaust Fan 8 inch</t>
  </si>
  <si>
    <t xml:space="preserve">HW-0034</t>
  </si>
  <si>
    <t xml:space="preserve">Astral PVC Pipe 1 inch</t>
  </si>
  <si>
    <t xml:space="preserve">HW-0035</t>
  </si>
  <si>
    <t xml:space="preserve">Havells Switch 2-way</t>
  </si>
  <si>
    <t xml:space="preserve">HW-0036</t>
  </si>
  <si>
    <t xml:space="preserve">Godrej Drawer Slide 18 inch</t>
  </si>
  <si>
    <t xml:space="preserve">Godrej</t>
  </si>
  <si>
    <t xml:space="preserve">HW-0037</t>
  </si>
  <si>
    <t xml:space="preserve">GKW Self-tapping Screws No.8</t>
  </si>
  <si>
    <t xml:space="preserve">GKW</t>
  </si>
  <si>
    <t xml:space="preserve">HW-0038</t>
  </si>
  <si>
    <t xml:space="preserve">Apex Wall Plugs 8mm</t>
  </si>
  <si>
    <t xml:space="preserve">Apex</t>
  </si>
  <si>
    <t xml:space="preserve">HW-0039</t>
  </si>
  <si>
    <t xml:space="preserve">Stanley Hammer Drill Standard</t>
  </si>
  <si>
    <t xml:space="preserve">HW-0040</t>
  </si>
  <si>
    <t xml:space="preserve">Anchor Ceiling Fan 48 inch</t>
  </si>
  <si>
    <t xml:space="preserve">HW-0041</t>
  </si>
  <si>
    <t xml:space="preserve">Udyogi Safety Harness Full Body</t>
  </si>
  <si>
    <t xml:space="preserve">Udyogi</t>
  </si>
  <si>
    <t xml:space="preserve">HW-0042</t>
  </si>
  <si>
    <t xml:space="preserve">Black &amp; Decker Hammer Drill Standard</t>
  </si>
  <si>
    <t xml:space="preserve">Black &amp; Decker</t>
  </si>
  <si>
    <t xml:space="preserve">HW-0043</t>
  </si>
  <si>
    <t xml:space="preserve">Legrand Switch 2-way</t>
  </si>
  <si>
    <t xml:space="preserve">Legrand</t>
  </si>
  <si>
    <t xml:space="preserve">HW-0044</t>
  </si>
  <si>
    <t xml:space="preserve">Ashirvad Shower Head Standard</t>
  </si>
  <si>
    <t xml:space="preserve">Ashirvad</t>
  </si>
  <si>
    <t xml:space="preserve">HW-0045</t>
  </si>
  <si>
    <t xml:space="preserve">Bosch Circular Saw 10 inch</t>
  </si>
  <si>
    <t xml:space="preserve">Bosch</t>
  </si>
  <si>
    <t xml:space="preserve">HW-0046</t>
  </si>
  <si>
    <t xml:space="preserve">Europa Door Hinge 3 inch</t>
  </si>
  <si>
    <t xml:space="preserve">HW-0047</t>
  </si>
  <si>
    <t xml:space="preserve">Ashirvad CPVC Pipe 3/4 inch</t>
  </si>
  <si>
    <t xml:space="preserve">HW-0048</t>
  </si>
  <si>
    <t xml:space="preserve">Dulux Wood Stain 1L</t>
  </si>
  <si>
    <t xml:space="preserve">HW-0049</t>
  </si>
  <si>
    <t xml:space="preserve">Araldite M-Seal 100g</t>
  </si>
  <si>
    <t xml:space="preserve">Araldite</t>
  </si>
  <si>
    <t xml:space="preserve">HW-0050</t>
  </si>
  <si>
    <t xml:space="preserve">Falcon Garden Hose 10m</t>
  </si>
  <si>
    <t xml:space="preserve">Falcon</t>
  </si>
  <si>
    <t xml:space="preserve">HW-0051</t>
  </si>
  <si>
    <t xml:space="preserve">GKW Nuts M10</t>
  </si>
  <si>
    <t xml:space="preserve">HW-0052</t>
  </si>
  <si>
    <t xml:space="preserve">Trustbasket Rake Steel</t>
  </si>
  <si>
    <t xml:space="preserve">HW-0053</t>
  </si>
  <si>
    <t xml:space="preserve">GKW Wood Screws 1.5 inch</t>
  </si>
  <si>
    <t xml:space="preserve">HW-0054</t>
  </si>
  <si>
    <t xml:space="preserve">Fevicol Masking Tape 24mm</t>
  </si>
  <si>
    <t xml:space="preserve">Fevicol</t>
  </si>
  <si>
    <t xml:space="preserve">HW-0055</t>
  </si>
  <si>
    <t xml:space="preserve">Black &amp; Decker Reciprocating Saw Pro</t>
  </si>
  <si>
    <t xml:space="preserve">HW-0056</t>
  </si>
  <si>
    <t xml:space="preserve">Supreme Shower Head Rainfall</t>
  </si>
  <si>
    <t xml:space="preserve">Supreme</t>
  </si>
  <si>
    <t xml:space="preserve">HW-0057</t>
  </si>
  <si>
    <t xml:space="preserve">HW-0058</t>
  </si>
  <si>
    <t xml:space="preserve">HW-0059</t>
  </si>
  <si>
    <t xml:space="preserve">Karam First Aid Kit Industrial</t>
  </si>
  <si>
    <t xml:space="preserve">HW-0060</t>
  </si>
  <si>
    <t xml:space="preserve">Legrand MCB 32A</t>
  </si>
  <si>
    <t xml:space="preserve">HW-0061</t>
  </si>
  <si>
    <t xml:space="preserve">Apex Washers M10</t>
  </si>
  <si>
    <t xml:space="preserve">HW-0062</t>
  </si>
  <si>
    <t xml:space="preserve">DeWalt Jig Saw Standard</t>
  </si>
  <si>
    <t xml:space="preserve">HW-0063</t>
  </si>
  <si>
    <t xml:space="preserve">Bosi Adjustable Wrench 12 inch</t>
  </si>
  <si>
    <t xml:space="preserve">HW-0064</t>
  </si>
  <si>
    <t xml:space="preserve">Makita Heat Gun 1500W</t>
  </si>
  <si>
    <t xml:space="preserve">Makita</t>
  </si>
  <si>
    <t xml:space="preserve">HW-0065</t>
  </si>
  <si>
    <t xml:space="preserve">Taparia Spirit Level 24 inch</t>
  </si>
  <si>
    <t xml:space="preserve">HW-0066</t>
  </si>
  <si>
    <t xml:space="preserve">Hettich Bracket Heavy</t>
  </si>
  <si>
    <t xml:space="preserve">HW-0067</t>
  </si>
  <si>
    <t xml:space="preserve">GKW Machine Screws M4</t>
  </si>
  <si>
    <t xml:space="preserve">HW-0068</t>
  </si>
  <si>
    <t xml:space="preserve">Bosi Pliers Combination</t>
  </si>
  <si>
    <t xml:space="preserve">HW-0069</t>
  </si>
  <si>
    <t xml:space="preserve">Stanley Jig Saw Pro</t>
  </si>
  <si>
    <t xml:space="preserve">HW-0070</t>
  </si>
  <si>
    <t xml:space="preserve">Crompton Cordless Drill 20V Pro</t>
  </si>
  <si>
    <t xml:space="preserve">HW-0071</t>
  </si>
  <si>
    <t xml:space="preserve">Prince PVC Tee 1/2 inch</t>
  </si>
  <si>
    <t xml:space="preserve">Prince</t>
  </si>
  <si>
    <t xml:space="preserve">HW-0072</t>
  </si>
  <si>
    <t xml:space="preserve">Crompton Hammer Drill Standard</t>
  </si>
  <si>
    <t xml:space="preserve">HW-0073</t>
  </si>
  <si>
    <t xml:space="preserve">Udyogi Dust Mask Reusable</t>
  </si>
  <si>
    <t xml:space="preserve">HW-0074</t>
  </si>
  <si>
    <t xml:space="preserve">Araldite Epoxy Resin 500g</t>
  </si>
  <si>
    <t xml:space="preserve">HW-0075</t>
  </si>
  <si>
    <t xml:space="preserve">Asian Paints Wood Stain 1L</t>
  </si>
  <si>
    <t xml:space="preserve">Asian Paints</t>
  </si>
  <si>
    <t xml:space="preserve">HW-0076</t>
  </si>
  <si>
    <t xml:space="preserve">TVS Screwdriver Set 6 pc</t>
  </si>
  <si>
    <t xml:space="preserve">HW-0077</t>
  </si>
  <si>
    <t xml:space="preserve">Birla Metal Primer 4L</t>
  </si>
  <si>
    <t xml:space="preserve">Birla</t>
  </si>
  <si>
    <t xml:space="preserve">HW-0078</t>
  </si>
  <si>
    <t xml:space="preserve">Polycab LED Tube Light 22W</t>
  </si>
  <si>
    <t xml:space="preserve">Polycab</t>
  </si>
  <si>
    <t xml:space="preserve">HW-0079</t>
  </si>
  <si>
    <t xml:space="preserve">Prince Shower Head Standard</t>
  </si>
  <si>
    <t xml:space="preserve">HW-0080</t>
  </si>
  <si>
    <t xml:space="preserve">Bosi Spirit Level 12 inch</t>
  </si>
  <si>
    <t xml:space="preserve">HW-0081</t>
  </si>
  <si>
    <t xml:space="preserve">Astral Bib Tap Standard</t>
  </si>
  <si>
    <t xml:space="preserve">HW-0082</t>
  </si>
  <si>
    <t xml:space="preserve">3M Dust Mask N95</t>
  </si>
  <si>
    <t xml:space="preserve">HW-0083</t>
  </si>
  <si>
    <t xml:space="preserve">3M Silicone Sealant 280ml</t>
  </si>
  <si>
    <t xml:space="preserve">HW-0084</t>
  </si>
  <si>
    <t xml:space="preserve">GKW Iron Nails 1 inch</t>
  </si>
  <si>
    <t xml:space="preserve">HW-0085</t>
  </si>
  <si>
    <t xml:space="preserve">Bosch Jig Saw Standard</t>
  </si>
  <si>
    <t xml:space="preserve">HW-0086</t>
  </si>
  <si>
    <t xml:space="preserve">Berger Interior Emulsion 4L</t>
  </si>
  <si>
    <t xml:space="preserve">Berger</t>
  </si>
  <si>
    <t xml:space="preserve">HW-0087</t>
  </si>
  <si>
    <t xml:space="preserve">Plaza PVC Conduit 20mm</t>
  </si>
  <si>
    <t xml:space="preserve">Plaza</t>
  </si>
  <si>
    <t xml:space="preserve">HW-0088</t>
  </si>
  <si>
    <t xml:space="preserve">Hafele Door Eye Standard</t>
  </si>
  <si>
    <t xml:space="preserve">HW-0089</t>
  </si>
  <si>
    <t xml:space="preserve">Visko Spanner Set 8 pc</t>
  </si>
  <si>
    <t xml:space="preserve">HW-0090</t>
  </si>
  <si>
    <t xml:space="preserve">Crompton LED Tube Light 18W</t>
  </si>
  <si>
    <t xml:space="preserve">HW-0091</t>
  </si>
  <si>
    <t xml:space="preserve">Finolex Bib Tap Standard</t>
  </si>
  <si>
    <t xml:space="preserve">HW-0092</t>
  </si>
  <si>
    <t xml:space="preserve">Astral Towel Rod 18 inch</t>
  </si>
  <si>
    <t xml:space="preserve">HW-0093</t>
  </si>
  <si>
    <t xml:space="preserve">Finolex LED Tube Light 22W</t>
  </si>
  <si>
    <t xml:space="preserve">HW-0094</t>
  </si>
  <si>
    <t xml:space="preserve">Asian Paints Exterior Emulsion 1L</t>
  </si>
  <si>
    <t xml:space="preserve">HW-0095</t>
  </si>
  <si>
    <t xml:space="preserve">Asian Paints Wood Varnish 1L</t>
  </si>
  <si>
    <t xml:space="preserve">HW-0096</t>
  </si>
  <si>
    <t xml:space="preserve">Apex Nuts M8</t>
  </si>
  <si>
    <t xml:space="preserve">HW-0097</t>
  </si>
  <si>
    <t xml:space="preserve">Philips MCB 6A</t>
  </si>
  <si>
    <t xml:space="preserve">HW-0098</t>
  </si>
  <si>
    <t xml:space="preserve">Stanley Rotary Hammer SDS Plus</t>
  </si>
  <si>
    <t xml:space="preserve">HW-0099</t>
  </si>
  <si>
    <t xml:space="preserve">Nerolac Wall Primer 4L</t>
  </si>
  <si>
    <t xml:space="preserve">Nerolac</t>
  </si>
  <si>
    <t xml:space="preserve">HW-0100</t>
  </si>
  <si>
    <t xml:space="preserve">Crompton Cordless Drill 12V</t>
  </si>
  <si>
    <t xml:space="preserve">HW-0101</t>
  </si>
  <si>
    <t xml:space="preserve">HW-0102</t>
  </si>
  <si>
    <t xml:space="preserve">Makita Bench Grinder 8 inch</t>
  </si>
  <si>
    <t xml:space="preserve">HW-0103</t>
  </si>
  <si>
    <t xml:space="preserve">Apex Anchor Bolts M8</t>
  </si>
  <si>
    <t xml:space="preserve">HW-0104</t>
  </si>
  <si>
    <t xml:space="preserve">Supreme Pillar Cock Standard</t>
  </si>
  <si>
    <t xml:space="preserve">HW-0105</t>
  </si>
  <si>
    <t xml:space="preserve">Philips LED Tube Light 18W</t>
  </si>
  <si>
    <t xml:space="preserve">HW-0106</t>
  </si>
  <si>
    <t xml:space="preserve">Europa Door Eye Standard</t>
  </si>
  <si>
    <t xml:space="preserve">HW-0107</t>
  </si>
  <si>
    <t xml:space="preserve">Visko Spirit Level 24 inch</t>
  </si>
  <si>
    <t xml:space="preserve">HW-0108</t>
  </si>
  <si>
    <t xml:space="preserve">Philips Ceiling Fan 52 inch</t>
  </si>
  <si>
    <t xml:space="preserve">HW-0109</t>
  </si>
  <si>
    <t xml:space="preserve">Bosi Spirit Level 24 inch</t>
  </si>
  <si>
    <t xml:space="preserve">HW-0110</t>
  </si>
  <si>
    <t xml:space="preserve">DeWalt Hammer Drill Standard</t>
  </si>
  <si>
    <t xml:space="preserve">HW-0111</t>
  </si>
  <si>
    <t xml:space="preserve">Supreme CPVC Pipe 1/2 inch</t>
  </si>
  <si>
    <t xml:space="preserve">HW-0112</t>
  </si>
  <si>
    <t xml:space="preserve">DeWalt Bench Grinder 8 inch</t>
  </si>
  <si>
    <t xml:space="preserve">HW-0113</t>
  </si>
  <si>
    <t xml:space="preserve">Visko Hacksaw Frame Standard</t>
  </si>
  <si>
    <t xml:space="preserve">HW-0114</t>
  </si>
  <si>
    <t xml:space="preserve">Bosch Reciprocating Saw Standard</t>
  </si>
  <si>
    <t xml:space="preserve">HW-0115</t>
  </si>
  <si>
    <t xml:space="preserve">Anchor PVC Conduit 25mm</t>
  </si>
  <si>
    <t xml:space="preserve">HW-0116</t>
  </si>
  <si>
    <t xml:space="preserve">Crompton Circular Saw 8 inch</t>
  </si>
  <si>
    <t xml:space="preserve">HW-0117</t>
  </si>
  <si>
    <t xml:space="preserve">Karam First Aid Kit Small</t>
  </si>
  <si>
    <t xml:space="preserve">HW-0118</t>
  </si>
  <si>
    <t xml:space="preserve">GKW Washers M8</t>
  </si>
  <si>
    <t xml:space="preserve">HW-0119</t>
  </si>
  <si>
    <t xml:space="preserve">Pye Hacksaw Frame Standard</t>
  </si>
  <si>
    <t xml:space="preserve">Pye</t>
  </si>
  <si>
    <t xml:space="preserve">HW-0120</t>
  </si>
  <si>
    <t xml:space="preserve">Plaza MCB 6A</t>
  </si>
  <si>
    <t xml:space="preserve">HW-0121</t>
  </si>
  <si>
    <t xml:space="preserve">DeWalt Random Orbit Sander 125mm</t>
  </si>
  <si>
    <t xml:space="preserve">HW-0122</t>
  </si>
  <si>
    <t xml:space="preserve">GKW Anchor Bolts M10</t>
  </si>
  <si>
    <t xml:space="preserve">HW-0123</t>
  </si>
  <si>
    <t xml:space="preserve">Polycab Ceiling Fan 48 inch</t>
  </si>
  <si>
    <t xml:space="preserve">HW-0124</t>
  </si>
  <si>
    <t xml:space="preserve">GKW Washers M10</t>
  </si>
  <si>
    <t xml:space="preserve">HW-0125</t>
  </si>
  <si>
    <t xml:space="preserve">Stanley Socket 1/2 inch Drive Set</t>
  </si>
  <si>
    <t xml:space="preserve">HW-0126</t>
  </si>
  <si>
    <t xml:space="preserve">3M Masking Tape 24mm</t>
  </si>
  <si>
    <t xml:space="preserve">HW-0127</t>
  </si>
  <si>
    <t xml:space="preserve">Birla Wood Stain 1L</t>
  </si>
  <si>
    <t xml:space="preserve">HW-0128</t>
  </si>
  <si>
    <t xml:space="preserve">Finolex PVC Elbow 1 inch</t>
  </si>
  <si>
    <t xml:space="preserve">HW-0129</t>
  </si>
  <si>
    <t xml:space="preserve">HW-0130</t>
  </si>
  <si>
    <t xml:space="preserve">HW-0131</t>
  </si>
  <si>
    <t xml:space="preserve">Taparia Screwdriver Set 6 pc</t>
  </si>
  <si>
    <t xml:space="preserve">HW-0132</t>
  </si>
  <si>
    <t xml:space="preserve">Supreme PVC Pipe 3/4 inch</t>
  </si>
  <si>
    <t xml:space="preserve">HW-0133</t>
  </si>
  <si>
    <t xml:space="preserve">Black &amp; Decker Random Orbit Sander 125mm</t>
  </si>
  <si>
    <t xml:space="preserve">HW-0134</t>
  </si>
  <si>
    <t xml:space="preserve">Stanley Heat Gun 1500W</t>
  </si>
  <si>
    <t xml:space="preserve">HW-0135</t>
  </si>
  <si>
    <t xml:space="preserve">Honeywell Safety Goggles Clear</t>
  </si>
  <si>
    <t xml:space="preserve">Honeywell</t>
  </si>
  <si>
    <t xml:space="preserve">HW-0136</t>
  </si>
  <si>
    <t xml:space="preserve">Yale Door Closer Heavy Duty</t>
  </si>
  <si>
    <t xml:space="preserve">HW-0137</t>
  </si>
  <si>
    <t xml:space="preserve">HW-0138</t>
  </si>
  <si>
    <t xml:space="preserve">Apex Wall Plugs 6mm</t>
  </si>
  <si>
    <t xml:space="preserve">HW-0139</t>
  </si>
  <si>
    <t xml:space="preserve">Nerolac Distemper 5kg</t>
  </si>
  <si>
    <t xml:space="preserve">HW-0140</t>
  </si>
  <si>
    <t xml:space="preserve">HW-0141</t>
  </si>
  <si>
    <t xml:space="preserve">DeWalt Hammer Drill Heavy Duty</t>
  </si>
  <si>
    <t xml:space="preserve">HW-0142</t>
  </si>
  <si>
    <t xml:space="preserve">Finolex PVC Wire 2.5 sqmm</t>
  </si>
  <si>
    <t xml:space="preserve">HW-0143</t>
  </si>
  <si>
    <t xml:space="preserve">Visko Ball Peen Hammer 16oz</t>
  </si>
  <si>
    <t xml:space="preserve">HW-0144</t>
  </si>
  <si>
    <t xml:space="preserve">Ashirvad Shower Head Rainfall</t>
  </si>
  <si>
    <t xml:space="preserve">HW-0145</t>
  </si>
  <si>
    <t xml:space="preserve">Apex Wood Screws 2 inch</t>
  </si>
  <si>
    <t xml:space="preserve">HW-0146</t>
  </si>
  <si>
    <t xml:space="preserve">Birla Metal Primer 1L</t>
  </si>
  <si>
    <t xml:space="preserve">HW-0147</t>
  </si>
  <si>
    <t xml:space="preserve">Falcon Hoe Standard</t>
  </si>
  <si>
    <t xml:space="preserve">HW-0148</t>
  </si>
  <si>
    <t xml:space="preserve">GKW Wood Screws 2 inch</t>
  </si>
  <si>
    <t xml:space="preserve">HW-0149</t>
  </si>
  <si>
    <t xml:space="preserve">Araldite Duct Tape 48mm x 25m</t>
  </si>
  <si>
    <t xml:space="preserve">HW-0150</t>
  </si>
  <si>
    <t xml:space="preserve">Stanley Angle Grinder 9 inch</t>
  </si>
  <si>
    <t xml:space="preserve">HW-0151</t>
  </si>
  <si>
    <t xml:space="preserve">Apex Iron Nails 2 inch</t>
  </si>
  <si>
    <t xml:space="preserve">HW-0152</t>
  </si>
  <si>
    <t xml:space="preserve">Europa Lock Padlock</t>
  </si>
  <si>
    <t xml:space="preserve">HW-0153</t>
  </si>
  <si>
    <t xml:space="preserve">HW-0154</t>
  </si>
  <si>
    <t xml:space="preserve">Legrand Switch 1-way</t>
  </si>
  <si>
    <t xml:space="preserve">HW-0155</t>
  </si>
  <si>
    <t xml:space="preserve">Stanley Ball Peen Hammer 8oz</t>
  </si>
  <si>
    <t xml:space="preserve">HW-0156</t>
  </si>
  <si>
    <t xml:space="preserve">Hettich Bracket L-Shape</t>
  </si>
  <si>
    <t xml:space="preserve">HW-0157</t>
  </si>
  <si>
    <t xml:space="preserve">Loctite Duct Tape 48mm x 25m</t>
  </si>
  <si>
    <t xml:space="preserve">HW-0158</t>
  </si>
  <si>
    <t xml:space="preserve">Crompton MCB 6A</t>
  </si>
  <si>
    <t xml:space="preserve">HW-0159</t>
  </si>
  <si>
    <t xml:space="preserve">TVS Claw Hammer 8oz</t>
  </si>
  <si>
    <t xml:space="preserve">HW-0160</t>
  </si>
  <si>
    <t xml:space="preserve">TVS Pliers Combination</t>
  </si>
  <si>
    <t xml:space="preserve">HW-0161</t>
  </si>
  <si>
    <t xml:space="preserve">TVS Tape Measure 3m</t>
  </si>
  <si>
    <t xml:space="preserve">HW-0162</t>
  </si>
  <si>
    <t xml:space="preserve">Birla Wall Primer 1L</t>
  </si>
  <si>
    <t xml:space="preserve">HW-0163</t>
  </si>
  <si>
    <t xml:space="preserve">Pye Pipe Wrench 14 inch</t>
  </si>
  <si>
    <t xml:space="preserve">HW-0164</t>
  </si>
  <si>
    <t xml:space="preserve">Crompton Exhaust Fan 8 inch</t>
  </si>
  <si>
    <t xml:space="preserve">HW-0165</t>
  </si>
  <si>
    <t xml:space="preserve">HW-0166</t>
  </si>
  <si>
    <t xml:space="preserve">Yale Cabinet Knob Steel</t>
  </si>
  <si>
    <t xml:space="preserve">HW-0167</t>
  </si>
  <si>
    <t xml:space="preserve">Astral Ball Valve 1 inch</t>
  </si>
  <si>
    <t xml:space="preserve">HW-0168</t>
  </si>
  <si>
    <t xml:space="preserve">HW-0169</t>
  </si>
  <si>
    <t xml:space="preserve">HW-0170</t>
  </si>
  <si>
    <t xml:space="preserve">HW-0171</t>
  </si>
  <si>
    <t xml:space="preserve">Ashirvad Bib Tap Standard</t>
  </si>
  <si>
    <t xml:space="preserve">HW-0172</t>
  </si>
  <si>
    <t xml:space="preserve">Honeywell First Aid Kit Industrial</t>
  </si>
  <si>
    <t xml:space="preserve">HW-0173</t>
  </si>
  <si>
    <t xml:space="preserve">HW-0174</t>
  </si>
  <si>
    <t xml:space="preserve">Stanley Rotary Hammer SDS Max</t>
  </si>
  <si>
    <t xml:space="preserve">HW-0175</t>
  </si>
  <si>
    <t xml:space="preserve">Black &amp; Decker Angle Grinder 9 inch</t>
  </si>
  <si>
    <t xml:space="preserve">HW-0176</t>
  </si>
  <si>
    <t xml:space="preserve">HW-0177</t>
  </si>
  <si>
    <t xml:space="preserve">Araldite Insulation Foam 750ml</t>
  </si>
  <si>
    <t xml:space="preserve">HW-0178</t>
  </si>
  <si>
    <t xml:space="preserve">HW-0179</t>
  </si>
  <si>
    <t xml:space="preserve">Anchor Hex Bolts M12</t>
  </si>
  <si>
    <t xml:space="preserve">HW-0180</t>
  </si>
  <si>
    <t xml:space="preserve">Polycab LED Bulb 15W</t>
  </si>
  <si>
    <t xml:space="preserve">HW-0181</t>
  </si>
  <si>
    <t xml:space="preserve">Black &amp; Decker Circular Saw 8 inch</t>
  </si>
  <si>
    <t xml:space="preserve">HW-0182</t>
  </si>
  <si>
    <t xml:space="preserve">Pye Adjustable Wrench 12 inch</t>
  </si>
  <si>
    <t xml:space="preserve">HW-0183</t>
  </si>
  <si>
    <t xml:space="preserve">HW-0184</t>
  </si>
  <si>
    <t xml:space="preserve">HW-0185</t>
  </si>
  <si>
    <t xml:space="preserve">Crompton MCB 16A</t>
  </si>
  <si>
    <t xml:space="preserve">HW-0186</t>
  </si>
  <si>
    <t xml:space="preserve">Finolex Towel Rod 24 inch</t>
  </si>
  <si>
    <t xml:space="preserve">HW-0187</t>
  </si>
  <si>
    <t xml:space="preserve">HW-0188</t>
  </si>
  <si>
    <t xml:space="preserve">DeWalt Rotary Hammer SDS Max</t>
  </si>
  <si>
    <t xml:space="preserve">HW-0189</t>
  </si>
  <si>
    <t xml:space="preserve">Stanley Pipe Wrench 10 inch</t>
  </si>
  <si>
    <t xml:space="preserve">HW-0190</t>
  </si>
  <si>
    <t xml:space="preserve">Nerolac Wood Stain 1L</t>
  </si>
  <si>
    <t xml:space="preserve">HW-0191</t>
  </si>
  <si>
    <t xml:space="preserve">Hafele Door Stopper Floor</t>
  </si>
  <si>
    <t xml:space="preserve">HW-0192</t>
  </si>
  <si>
    <t xml:space="preserve">Yale Door Eye Standard</t>
  </si>
  <si>
    <t xml:space="preserve">HW-0193</t>
  </si>
  <si>
    <t xml:space="preserve">Crompton Ceiling Fan 52 inch</t>
  </si>
  <si>
    <t xml:space="preserve">HW-0194</t>
  </si>
  <si>
    <t xml:space="preserve">Apex Iron Nails 3 inch</t>
  </si>
  <si>
    <t xml:space="preserve">HW-0195</t>
  </si>
  <si>
    <t xml:space="preserve">HW-0196</t>
  </si>
  <si>
    <t xml:space="preserve">HW-0197</t>
  </si>
  <si>
    <t xml:space="preserve">GKW Anchor Bolts M8</t>
  </si>
  <si>
    <t xml:space="preserve">HW-0198</t>
  </si>
  <si>
    <t xml:space="preserve">M-Seal Silicone Sealant 280ml</t>
  </si>
  <si>
    <t xml:space="preserve">M-Seal</t>
  </si>
  <si>
    <t xml:space="preserve">HW-0199</t>
  </si>
  <si>
    <t xml:space="preserve">HW-0200</t>
  </si>
  <si>
    <t xml:space="preserve">Prince CPVC Pipe 3/4 inch</t>
  </si>
  <si>
    <t xml:space="preserve">HW-0201</t>
  </si>
  <si>
    <t xml:space="preserve">Pye Spirit Level 24 inch</t>
  </si>
  <si>
    <t xml:space="preserve">HW-0202</t>
  </si>
  <si>
    <t xml:space="preserve">GKW Machine Screws M5</t>
  </si>
  <si>
    <t xml:space="preserve">HW-0203</t>
  </si>
  <si>
    <t xml:space="preserve">Loctite Insulation Tape 18mm</t>
  </si>
  <si>
    <t xml:space="preserve">HW-0204</t>
  </si>
  <si>
    <t xml:space="preserve">HW-0205</t>
  </si>
  <si>
    <t xml:space="preserve">Bosi Spanner Set 8 pc</t>
  </si>
  <si>
    <t xml:space="preserve">HW-0206</t>
  </si>
  <si>
    <t xml:space="preserve">HW-0207</t>
  </si>
  <si>
    <t xml:space="preserve">HW-0208</t>
  </si>
  <si>
    <t xml:space="preserve">Apex Anchor Bolts M10</t>
  </si>
  <si>
    <t xml:space="preserve">HW-0209</t>
  </si>
  <si>
    <t xml:space="preserve">DeWalt Reciprocating Saw Standard</t>
  </si>
  <si>
    <t xml:space="preserve">HW-0210</t>
  </si>
  <si>
    <t xml:space="preserve">HW-0211</t>
  </si>
  <si>
    <t xml:space="preserve">Black &amp; Decker Reciprocating Saw Standard</t>
  </si>
  <si>
    <t xml:space="preserve">HW-0212</t>
  </si>
  <si>
    <t xml:space="preserve">HW-0213</t>
  </si>
  <si>
    <t xml:space="preserve">Polycab LED Bulb 12W</t>
  </si>
  <si>
    <t xml:space="preserve">HW-0214</t>
  </si>
  <si>
    <t xml:space="preserve">Trustbasket Hoe Standard</t>
  </si>
  <si>
    <t xml:space="preserve">HW-0215</t>
  </si>
  <si>
    <t xml:space="preserve">HW-0216</t>
  </si>
  <si>
    <t xml:space="preserve">Europa Door Closer Heavy Duty</t>
  </si>
  <si>
    <t xml:space="preserve">HW-0217</t>
  </si>
  <si>
    <t xml:space="preserve">HW-0218</t>
  </si>
  <si>
    <t xml:space="preserve">HW-0219</t>
  </si>
  <si>
    <t xml:space="preserve">Stanley Angle Grinder 5 inch</t>
  </si>
  <si>
    <t xml:space="preserve">HW-0220</t>
  </si>
  <si>
    <t xml:space="preserve">Loctite Silicone Sealant 280ml</t>
  </si>
  <si>
    <t xml:space="preserve">HW-0221</t>
  </si>
  <si>
    <t xml:space="preserve">TVS Socket 1/2 inch Drive Set</t>
  </si>
  <si>
    <t xml:space="preserve">HW-0222</t>
  </si>
  <si>
    <t xml:space="preserve">Karam Safety Harness Full Body</t>
  </si>
  <si>
    <t xml:space="preserve">HW-0223</t>
  </si>
  <si>
    <t xml:space="preserve">Prince Pillar Cock Standard</t>
  </si>
  <si>
    <t xml:space="preserve">HW-0224</t>
  </si>
  <si>
    <t xml:space="preserve">Godrej Bracket Heavy</t>
  </si>
  <si>
    <t xml:space="preserve">HW-0225</t>
  </si>
  <si>
    <t xml:space="preserve">HW-0226</t>
  </si>
  <si>
    <t xml:space="preserve">Anchor Washers M8</t>
  </si>
  <si>
    <t xml:space="preserve">HW-0227</t>
  </si>
  <si>
    <t xml:space="preserve">HW-0228</t>
  </si>
  <si>
    <t xml:space="preserve">Birla Interior Emulsion 1L</t>
  </si>
  <si>
    <t xml:space="preserve">HW-0229</t>
  </si>
  <si>
    <t xml:space="preserve">HW-0230</t>
  </si>
  <si>
    <t xml:space="preserve">HW-0231</t>
  </si>
  <si>
    <t xml:space="preserve">Stanley Jig Saw Standard</t>
  </si>
  <si>
    <t xml:space="preserve">HW-0232</t>
  </si>
  <si>
    <t xml:space="preserve">Loctite Epoxy Resin 100g</t>
  </si>
  <si>
    <t xml:space="preserve">HW-0233</t>
  </si>
  <si>
    <t xml:space="preserve">Philips PVC Conduit 25mm</t>
  </si>
  <si>
    <t xml:space="preserve">HW-0234</t>
  </si>
  <si>
    <t xml:space="preserve">Pidilite Duct Tape 48mm x 25m</t>
  </si>
  <si>
    <t xml:space="preserve">Pidilite</t>
  </si>
  <si>
    <t xml:space="preserve">HW-0235</t>
  </si>
  <si>
    <t xml:space="preserve">Dulux Metal Primer 4L</t>
  </si>
  <si>
    <t xml:space="preserve">HW-0236</t>
  </si>
  <si>
    <t xml:space="preserve">Supreme Teflon Tape 19mm</t>
  </si>
  <si>
    <t xml:space="preserve">HW-0237</t>
  </si>
  <si>
    <t xml:space="preserve">Havells Ceiling Fan 52 inch</t>
  </si>
  <si>
    <t xml:space="preserve">HW-0238</t>
  </si>
  <si>
    <t xml:space="preserve">GKW Nuts M6</t>
  </si>
  <si>
    <t xml:space="preserve">HW-0239</t>
  </si>
  <si>
    <t xml:space="preserve">Honeywell Work Gloves Nitrile</t>
  </si>
  <si>
    <t xml:space="preserve">HW-0240</t>
  </si>
  <si>
    <t xml:space="preserve">Stanley Ball Peen Hammer 16oz</t>
  </si>
  <si>
    <t xml:space="preserve">HW-0241</t>
  </si>
  <si>
    <t xml:space="preserve">HW-0242</t>
  </si>
  <si>
    <t xml:space="preserve">Trustbasket Garden Hose 10m</t>
  </si>
  <si>
    <t xml:space="preserve">HW-0243</t>
  </si>
  <si>
    <t xml:space="preserve">HW-0244</t>
  </si>
  <si>
    <t xml:space="preserve">Prince Ball Valve 1/2 inch</t>
  </si>
  <si>
    <t xml:space="preserve">HW-0245</t>
  </si>
  <si>
    <t xml:space="preserve">Pidilite Wood Glue 100g</t>
  </si>
  <si>
    <t xml:space="preserve">HW-0246</t>
  </si>
  <si>
    <t xml:space="preserve">Visko Allen Key Set Imperial</t>
  </si>
  <si>
    <t xml:space="preserve">HW-0247</t>
  </si>
  <si>
    <t xml:space="preserve">DeWalt Heat Gun 1500W</t>
  </si>
  <si>
    <t xml:space="preserve">HW-0248</t>
  </si>
  <si>
    <t xml:space="preserve">Udyogi High-vis Vest XL</t>
  </si>
  <si>
    <t xml:space="preserve">HW-0249</t>
  </si>
  <si>
    <t xml:space="preserve">HW-0250</t>
  </si>
  <si>
    <t xml:space="preserve">HW-0251</t>
  </si>
  <si>
    <t xml:space="preserve">Udyogi Safety Boots Steel Toe</t>
  </si>
  <si>
    <t xml:space="preserve">HW-0252</t>
  </si>
  <si>
    <t xml:space="preserve">3M Safety Boots Steel Toe</t>
  </si>
  <si>
    <t xml:space="preserve">HW-0253</t>
  </si>
  <si>
    <t xml:space="preserve">Plaza LED Bulb 15W</t>
  </si>
  <si>
    <t xml:space="preserve">HW-0254</t>
  </si>
  <si>
    <t xml:space="preserve">Black &amp; Decker Bench Grinder 6 inch</t>
  </si>
  <si>
    <t xml:space="preserve">HW-0255</t>
  </si>
  <si>
    <t xml:space="preserve">Wolf-Garten Sprayer 5L</t>
  </si>
  <si>
    <t xml:space="preserve">HW-0256</t>
  </si>
  <si>
    <t xml:space="preserve">Loctite Wood Glue 500g</t>
  </si>
  <si>
    <t xml:space="preserve">HW-0257</t>
  </si>
  <si>
    <t xml:space="preserve">Nerolac Enamel Paint 1L</t>
  </si>
  <si>
    <t xml:space="preserve">HW-0258</t>
  </si>
  <si>
    <t xml:space="preserve">Taparia Claw Hammer 8oz</t>
  </si>
  <si>
    <t xml:space="preserve">HW-0259</t>
  </si>
  <si>
    <t xml:space="preserve">Fevicol Masking Tape 48mm</t>
  </si>
  <si>
    <t xml:space="preserve">HW-0260</t>
  </si>
  <si>
    <t xml:space="preserve">Bosch Bench Grinder 6 inch</t>
  </si>
  <si>
    <t xml:space="preserve">HW-0261</t>
  </si>
  <si>
    <t xml:space="preserve">Makita Jig Saw Variable Speed</t>
  </si>
  <si>
    <t xml:space="preserve">HW-0262</t>
  </si>
  <si>
    <t xml:space="preserve">Crompton Bench Grinder 8 inch</t>
  </si>
  <si>
    <t xml:space="preserve">HW-0263</t>
  </si>
  <si>
    <t xml:space="preserve">Berger Distemper 5kg</t>
  </si>
  <si>
    <t xml:space="preserve">HW-0264</t>
  </si>
  <si>
    <t xml:space="preserve">Supreme PVC Elbow 1 inch</t>
  </si>
  <si>
    <t xml:space="preserve">HW-0265</t>
  </si>
  <si>
    <t xml:space="preserve">Black &amp; Decker Cordless Drill 20V Pro</t>
  </si>
  <si>
    <t xml:space="preserve">HW-0266</t>
  </si>
  <si>
    <t xml:space="preserve">HW-0267</t>
  </si>
  <si>
    <t xml:space="preserve">Prince Teflon Tape 19mm</t>
  </si>
  <si>
    <t xml:space="preserve">HW-0268</t>
  </si>
  <si>
    <t xml:space="preserve">Fevicol M-Seal 50g</t>
  </si>
  <si>
    <t xml:space="preserve">HW-0269</t>
  </si>
  <si>
    <t xml:space="preserve">HW-0270</t>
  </si>
  <si>
    <t xml:space="preserve">3M Insulation Tape 18mm</t>
  </si>
  <si>
    <t xml:space="preserve">HW-0271</t>
  </si>
  <si>
    <t xml:space="preserve">HW-0272</t>
  </si>
  <si>
    <t xml:space="preserve">HW-0273</t>
  </si>
  <si>
    <t xml:space="preserve">Nerolac Interior Emulsion 4L</t>
  </si>
  <si>
    <t xml:space="preserve">HW-0274</t>
  </si>
  <si>
    <t xml:space="preserve">HW-0275</t>
  </si>
  <si>
    <t xml:space="preserve">HW-0276</t>
  </si>
  <si>
    <t xml:space="preserve">Bosch Bench Grinder 8 inch</t>
  </si>
  <si>
    <t xml:space="preserve">HW-0277</t>
  </si>
  <si>
    <t xml:space="preserve">3M Double-sided Tape 24mm</t>
  </si>
  <si>
    <t xml:space="preserve">HW-0278</t>
  </si>
  <si>
    <t xml:space="preserve">HW-0279</t>
  </si>
  <si>
    <t xml:space="preserve">Makita Random Orbit Sander 150mm</t>
  </si>
  <si>
    <t xml:space="preserve">HW-0280</t>
  </si>
  <si>
    <t xml:space="preserve">Black &amp; Decker Cordless Drill 18V</t>
  </si>
  <si>
    <t xml:space="preserve">HW-0281</t>
  </si>
  <si>
    <t xml:space="preserve">DeWalt Heat Gun 2000W</t>
  </si>
  <si>
    <t xml:space="preserve">HW-0282</t>
  </si>
  <si>
    <t xml:space="preserve">Astral Pillar Cock Standard</t>
  </si>
  <si>
    <t xml:space="preserve">HW-0283</t>
  </si>
  <si>
    <t xml:space="preserve">Havells LED Tube Light 22W</t>
  </si>
  <si>
    <t xml:space="preserve">HW-0284</t>
  </si>
  <si>
    <t xml:space="preserve">Mallcom High-vis Vest L</t>
  </si>
  <si>
    <t xml:space="preserve">HW-0285</t>
  </si>
  <si>
    <t xml:space="preserve">Crompton MCB 32A</t>
  </si>
  <si>
    <t xml:space="preserve">HW-0286</t>
  </si>
  <si>
    <t xml:space="preserve">Anchor Ceiling Fan 52 inch</t>
  </si>
  <si>
    <t xml:space="preserve">HW-0287</t>
  </si>
  <si>
    <t xml:space="preserve">HW-0288</t>
  </si>
  <si>
    <t xml:space="preserve">Black &amp; Decker Jig Saw Pro</t>
  </si>
  <si>
    <t xml:space="preserve">HW-0289</t>
  </si>
  <si>
    <t xml:space="preserve">Stanley Spanner Set 8 pc</t>
  </si>
  <si>
    <t xml:space="preserve">HW-0290</t>
  </si>
  <si>
    <t xml:space="preserve">Anchor PVC Conduit 20mm</t>
  </si>
  <si>
    <t xml:space="preserve">HW-0291</t>
  </si>
  <si>
    <t xml:space="preserve">HW-0292</t>
  </si>
  <si>
    <t xml:space="preserve">Godrej Door Eye Standard</t>
  </si>
  <si>
    <t xml:space="preserve">HW-0293</t>
  </si>
  <si>
    <t xml:space="preserve">Ashirvad Teflon Tape 19mm</t>
  </si>
  <si>
    <t xml:space="preserve">HW-0294</t>
  </si>
  <si>
    <t xml:space="preserve">3M Duct Tape 48mm x 25m</t>
  </si>
  <si>
    <t xml:space="preserve">HW-0295</t>
  </si>
  <si>
    <t xml:space="preserve">Stanley Tape Measure 8m</t>
  </si>
  <si>
    <t xml:space="preserve">HW-0296</t>
  </si>
  <si>
    <t xml:space="preserve">Mallcom First Aid Kit Small</t>
  </si>
  <si>
    <t xml:space="preserve">HW-0297</t>
  </si>
  <si>
    <t xml:space="preserve">Bosi Ball Peen Hammer 8oz</t>
  </si>
  <si>
    <t xml:space="preserve">HW-0298</t>
  </si>
  <si>
    <t xml:space="preserve">Wolf-Garten Garden Hose 20m</t>
  </si>
  <si>
    <t xml:space="preserve">HW-0299</t>
  </si>
  <si>
    <t xml:space="preserve">Europa Door Handle Stainless</t>
  </si>
  <si>
    <t xml:space="preserve">HW-0300</t>
  </si>
  <si>
    <t xml:space="preserve">Hettich Door Eye Standard</t>
  </si>
  <si>
    <t xml:space="preserve">HW-0301</t>
  </si>
  <si>
    <t xml:space="preserve">Nerolac Exterior Emulsion 4L</t>
  </si>
  <si>
    <t xml:space="preserve">HW-0302</t>
  </si>
  <si>
    <t xml:space="preserve">M-Seal Double-sided Tape 24mm</t>
  </si>
  <si>
    <t xml:space="preserve">HW-0303</t>
  </si>
  <si>
    <t xml:space="preserve">HW-0304</t>
  </si>
  <si>
    <t xml:space="preserve">Bosch Cordless Drill 20V Pro</t>
  </si>
  <si>
    <t xml:space="preserve">HW-0305</t>
  </si>
  <si>
    <t xml:space="preserve">Crompton Jig Saw Standard</t>
  </si>
  <si>
    <t xml:space="preserve">HW-0306</t>
  </si>
  <si>
    <t xml:space="preserve">HW-0307</t>
  </si>
  <si>
    <t xml:space="preserve">Black &amp; Decker Rotary Hammer SDS Max</t>
  </si>
  <si>
    <t xml:space="preserve">HW-0308</t>
  </si>
  <si>
    <t xml:space="preserve">HW-0309</t>
  </si>
  <si>
    <t xml:space="preserve">HW-0310</t>
  </si>
  <si>
    <t xml:space="preserve">HW-0311</t>
  </si>
  <si>
    <t xml:space="preserve">Pidilite Insulation Tape 18mm</t>
  </si>
  <si>
    <t xml:space="preserve">HW-0312</t>
  </si>
  <si>
    <t xml:space="preserve">Hettich Lock Cylinder</t>
  </si>
  <si>
    <t xml:space="preserve">HW-0313</t>
  </si>
  <si>
    <t xml:space="preserve">Birla Distemper 10kg</t>
  </si>
  <si>
    <t xml:space="preserve">HW-0314</t>
  </si>
  <si>
    <t xml:space="preserve">Fevicol Epoxy Resin 100g</t>
  </si>
  <si>
    <t xml:space="preserve">HW-0315</t>
  </si>
  <si>
    <t xml:space="preserve">Makita Cordless Drill 20V Pro</t>
  </si>
  <si>
    <t xml:space="preserve">HW-0316</t>
  </si>
  <si>
    <t xml:space="preserve">HW-0317</t>
  </si>
  <si>
    <t xml:space="preserve">HW-0318</t>
  </si>
  <si>
    <t xml:space="preserve">Godrej Door Hinge 4 inch</t>
  </si>
  <si>
    <t xml:space="preserve">HW-0319</t>
  </si>
  <si>
    <t xml:space="preserve">Hettich Cabinet Knob Chrome</t>
  </si>
  <si>
    <t xml:space="preserve">HW-0320</t>
  </si>
  <si>
    <t xml:space="preserve">HW-0321</t>
  </si>
  <si>
    <t xml:space="preserve">Prince Shower Head Rainfall</t>
  </si>
  <si>
    <t xml:space="preserve">HW-0322</t>
  </si>
  <si>
    <t xml:space="preserve">Asian Paints Distemper 10kg</t>
  </si>
  <si>
    <t xml:space="preserve">HW-0323</t>
  </si>
  <si>
    <t xml:space="preserve">HW-0324</t>
  </si>
  <si>
    <t xml:space="preserve">Anchor PVC Wire 1.5 sqmm</t>
  </si>
  <si>
    <t xml:space="preserve">HW-0325</t>
  </si>
  <si>
    <t xml:space="preserve">Polycab PVC Conduit 25mm</t>
  </si>
  <si>
    <t xml:space="preserve">HW-0326</t>
  </si>
  <si>
    <t xml:space="preserve">GKW Machine Screws M3</t>
  </si>
  <si>
    <t xml:space="preserve">HW-0327</t>
  </si>
  <si>
    <t xml:space="preserve">Taparia Spanner Set 8 pc</t>
  </si>
  <si>
    <t xml:space="preserve">HW-0328</t>
  </si>
  <si>
    <t xml:space="preserve">Dulux Metal Primer 1L</t>
  </si>
  <si>
    <t xml:space="preserve">HW-0329</t>
  </si>
  <si>
    <t xml:space="preserve">TVS Spirit Level 12 inch</t>
  </si>
  <si>
    <t xml:space="preserve">HW-0330</t>
  </si>
  <si>
    <t xml:space="preserve">Legrand PVC Conduit 20mm</t>
  </si>
  <si>
    <t xml:space="preserve">HW-0331</t>
  </si>
  <si>
    <t xml:space="preserve">HW-0332</t>
  </si>
  <si>
    <t xml:space="preserve">Dulux Wall Putty 5kg</t>
  </si>
  <si>
    <t xml:space="preserve">HW-0333</t>
  </si>
  <si>
    <t xml:space="preserve">HW-0334</t>
  </si>
  <si>
    <t xml:space="preserve">Visko Tape Measure 8m</t>
  </si>
  <si>
    <t xml:space="preserve">HW-0335</t>
  </si>
  <si>
    <t xml:space="preserve">Berger Enamel Paint 1L</t>
  </si>
  <si>
    <t xml:space="preserve">HW-0336</t>
  </si>
  <si>
    <t xml:space="preserve">Finolex Teflon Tape 12mm</t>
  </si>
  <si>
    <t xml:space="preserve">HW-0337</t>
  </si>
  <si>
    <t xml:space="preserve">HW-0338</t>
  </si>
  <si>
    <t xml:space="preserve">Visko Spirit Level 12 inch</t>
  </si>
  <si>
    <t xml:space="preserve">HW-0339</t>
  </si>
  <si>
    <t xml:space="preserve">Asian Paints Enamel Paint 1L</t>
  </si>
  <si>
    <t xml:space="preserve">HW-0340</t>
  </si>
  <si>
    <t xml:space="preserve">Stanley Hammer Drill Heavy Duty</t>
  </si>
  <si>
    <t xml:space="preserve">HW-0341</t>
  </si>
  <si>
    <t xml:space="preserve">Prince PVC Elbow 1 inch</t>
  </si>
  <si>
    <t xml:space="preserve">HW-0342</t>
  </si>
  <si>
    <t xml:space="preserve">DeWalt Angle Grinder 9 inch</t>
  </si>
  <si>
    <t xml:space="preserve">HW-0343</t>
  </si>
  <si>
    <t xml:space="preserve">DeWalt Random Orbit Sander 150mm</t>
  </si>
  <si>
    <t xml:space="preserve">HW-0344</t>
  </si>
  <si>
    <t xml:space="preserve">Fevicol Insulation Foam 750ml</t>
  </si>
  <si>
    <t xml:space="preserve">HW-0345</t>
  </si>
  <si>
    <t xml:space="preserve">Hafele Door Hinge 4 inch</t>
  </si>
  <si>
    <t xml:space="preserve">HW-0346</t>
  </si>
  <si>
    <t xml:space="preserve">Bosch Heat Gun 2000W</t>
  </si>
  <si>
    <t xml:space="preserve">HW-0347</t>
  </si>
  <si>
    <t xml:space="preserve">Europa Drawer Slide 12 inch</t>
  </si>
  <si>
    <t xml:space="preserve">HW-0348</t>
  </si>
  <si>
    <t xml:space="preserve">GKW Wall Plugs 6mm</t>
  </si>
  <si>
    <t xml:space="preserve">HW-0349</t>
  </si>
  <si>
    <t xml:space="preserve">HW-0350</t>
  </si>
  <si>
    <t xml:space="preserve">Stanley Bench Grinder 6 inch</t>
  </si>
  <si>
    <t xml:space="preserve">Sales: Jugaad Hardware &amp; Tools</t>
  </si>
  <si>
    <t xml:space="preserve">Sale ID</t>
  </si>
  <si>
    <t xml:space="preserve">Date</t>
  </si>
  <si>
    <t xml:space="preserve">Quantity</t>
  </si>
  <si>
    <t xml:space="preserve">Invoice No</t>
  </si>
  <si>
    <t xml:space="preserve">Sale Value</t>
  </si>
  <si>
    <t xml:space="preserve">Month</t>
  </si>
  <si>
    <t xml:space="preserve">SALE-00001</t>
  </si>
  <si>
    <t xml:space="preserve">INV-23034</t>
  </si>
  <si>
    <t xml:space="preserve">SALE-00002</t>
  </si>
  <si>
    <t xml:space="preserve">INV-59824</t>
  </si>
  <si>
    <t xml:space="preserve">SALE-00003</t>
  </si>
  <si>
    <t xml:space="preserve">INV-39394</t>
  </si>
  <si>
    <t xml:space="preserve">SALE-00004</t>
  </si>
  <si>
    <t xml:space="preserve">INV-55587</t>
  </si>
  <si>
    <t xml:space="preserve">SALE-00005</t>
  </si>
  <si>
    <t xml:space="preserve">INV-80276</t>
  </si>
  <si>
    <t xml:space="preserve">SALE-00006</t>
  </si>
  <si>
    <t xml:space="preserve">INV-18898</t>
  </si>
  <si>
    <t xml:space="preserve">SALE-00007</t>
  </si>
  <si>
    <t xml:space="preserve">INV-29283</t>
  </si>
  <si>
    <t xml:space="preserve">SALE-00008</t>
  </si>
  <si>
    <t xml:space="preserve">INV-45969</t>
  </si>
  <si>
    <t xml:space="preserve">SALE-00009</t>
  </si>
  <si>
    <t xml:space="preserve">INV-70215</t>
  </si>
  <si>
    <t xml:space="preserve">SALE-00010</t>
  </si>
  <si>
    <t xml:space="preserve">INV-38004</t>
  </si>
  <si>
    <t xml:space="preserve">SALE-00011</t>
  </si>
  <si>
    <t xml:space="preserve">INV-92220</t>
  </si>
  <si>
    <t xml:space="preserve">SALE-00012</t>
  </si>
  <si>
    <t xml:space="preserve">INV-76998</t>
  </si>
  <si>
    <t xml:space="preserve">SALE-00013</t>
  </si>
  <si>
    <t xml:space="preserve">INV-33232</t>
  </si>
  <si>
    <t xml:space="preserve">SALE-00014</t>
  </si>
  <si>
    <t xml:space="preserve">INV-90531</t>
  </si>
  <si>
    <t xml:space="preserve">SALE-00015</t>
  </si>
  <si>
    <t xml:space="preserve">INV-90861</t>
  </si>
  <si>
    <t xml:space="preserve">SALE-00016</t>
  </si>
  <si>
    <t xml:space="preserve">INV-22381</t>
  </si>
  <si>
    <t xml:space="preserve">SALE-00017</t>
  </si>
  <si>
    <t xml:space="preserve">INV-93447</t>
  </si>
  <si>
    <t xml:space="preserve">SALE-00018</t>
  </si>
  <si>
    <t xml:space="preserve">INV-50292</t>
  </si>
  <si>
    <t xml:space="preserve">SALE-00019</t>
  </si>
  <si>
    <t xml:space="preserve">INV-78055</t>
  </si>
  <si>
    <t xml:space="preserve">SALE-00020</t>
  </si>
  <si>
    <t xml:space="preserve">INV-40623</t>
  </si>
  <si>
    <t xml:space="preserve">SALE-00021</t>
  </si>
  <si>
    <t xml:space="preserve">INV-23856</t>
  </si>
  <si>
    <t xml:space="preserve">SALE-00022</t>
  </si>
  <si>
    <t xml:space="preserve">INV-54484</t>
  </si>
  <si>
    <t xml:space="preserve">SALE-00023</t>
  </si>
  <si>
    <t xml:space="preserve">INV-12024</t>
  </si>
  <si>
    <t xml:space="preserve">SALE-00024</t>
  </si>
  <si>
    <t xml:space="preserve">INV-82582</t>
  </si>
  <si>
    <t xml:space="preserve">SALE-00025</t>
  </si>
  <si>
    <t xml:space="preserve">INV-63890</t>
  </si>
  <si>
    <t xml:space="preserve">SALE-00026</t>
  </si>
  <si>
    <t xml:space="preserve">INV-28836</t>
  </si>
  <si>
    <t xml:space="preserve">SALE-00027</t>
  </si>
  <si>
    <t xml:space="preserve">INV-48661</t>
  </si>
  <si>
    <t xml:space="preserve">SALE-00028</t>
  </si>
  <si>
    <t xml:space="preserve">INV-31397</t>
  </si>
  <si>
    <t xml:space="preserve">SALE-00029</t>
  </si>
  <si>
    <t xml:space="preserve">INV-70904</t>
  </si>
  <si>
    <t xml:space="preserve">SALE-00030</t>
  </si>
  <si>
    <t xml:space="preserve">INV-35748</t>
  </si>
  <si>
    <t xml:space="preserve">SALE-00031</t>
  </si>
  <si>
    <t xml:space="preserve">INV-80051</t>
  </si>
  <si>
    <t xml:space="preserve">SALE-00032</t>
  </si>
  <si>
    <t xml:space="preserve">INV-40049</t>
  </si>
  <si>
    <t xml:space="preserve">SALE-00033</t>
  </si>
  <si>
    <t xml:space="preserve">INV-75495</t>
  </si>
  <si>
    <t xml:space="preserve">SALE-00034</t>
  </si>
  <si>
    <t xml:space="preserve">INV-65995</t>
  </si>
  <si>
    <t xml:space="preserve">SALE-00035</t>
  </si>
  <si>
    <t xml:space="preserve">INV-37139</t>
  </si>
  <si>
    <t xml:space="preserve">SALE-00036</t>
  </si>
  <si>
    <t xml:space="preserve">INV-41669</t>
  </si>
  <si>
    <t xml:space="preserve">SALE-00037</t>
  </si>
  <si>
    <t xml:space="preserve">INV-88374</t>
  </si>
  <si>
    <t xml:space="preserve">SALE-00038</t>
  </si>
  <si>
    <t xml:space="preserve">INV-44898</t>
  </si>
  <si>
    <t xml:space="preserve">SALE-00039</t>
  </si>
  <si>
    <t xml:space="preserve">INV-15518</t>
  </si>
  <si>
    <t xml:space="preserve">SALE-00040</t>
  </si>
  <si>
    <t xml:space="preserve">INV-30834</t>
  </si>
  <si>
    <t xml:space="preserve">SALE-00041</t>
  </si>
  <si>
    <t xml:space="preserve">INV-48765</t>
  </si>
  <si>
    <t xml:space="preserve">SALE-00042</t>
  </si>
  <si>
    <t xml:space="preserve">INV-36842</t>
  </si>
  <si>
    <t xml:space="preserve">SALE-00043</t>
  </si>
  <si>
    <t xml:space="preserve">INV-13238</t>
  </si>
  <si>
    <t xml:space="preserve">SALE-00044</t>
  </si>
  <si>
    <t xml:space="preserve">INV-62003</t>
  </si>
  <si>
    <t xml:space="preserve">SALE-00045</t>
  </si>
  <si>
    <t xml:space="preserve">INV-64016</t>
  </si>
  <si>
    <t xml:space="preserve">SALE-00046</t>
  </si>
  <si>
    <t xml:space="preserve">INV-48774</t>
  </si>
  <si>
    <t xml:space="preserve">SALE-00047</t>
  </si>
  <si>
    <t xml:space="preserve">INV-74222</t>
  </si>
  <si>
    <t xml:space="preserve">SALE-00048</t>
  </si>
  <si>
    <t xml:space="preserve">INV-60115</t>
  </si>
  <si>
    <t xml:space="preserve">SALE-00049</t>
  </si>
  <si>
    <t xml:space="preserve">INV-62586</t>
  </si>
  <si>
    <t xml:space="preserve">SALE-00050</t>
  </si>
  <si>
    <t xml:space="preserve">INV-18134</t>
  </si>
  <si>
    <t xml:space="preserve">SALE-00051</t>
  </si>
  <si>
    <t xml:space="preserve">INV-27661</t>
  </si>
  <si>
    <t xml:space="preserve">SALE-00052</t>
  </si>
  <si>
    <t xml:space="preserve">INV-12111</t>
  </si>
  <si>
    <t xml:space="preserve">SALE-00053</t>
  </si>
  <si>
    <t xml:space="preserve">INV-53513</t>
  </si>
  <si>
    <t xml:space="preserve">SALE-00054</t>
  </si>
  <si>
    <t xml:space="preserve">INV-75787</t>
  </si>
  <si>
    <t xml:space="preserve">SALE-00055</t>
  </si>
  <si>
    <t xml:space="preserve">INV-88777</t>
  </si>
  <si>
    <t xml:space="preserve">SALE-00056</t>
  </si>
  <si>
    <t xml:space="preserve">INV-81544</t>
  </si>
  <si>
    <t xml:space="preserve">SALE-00057</t>
  </si>
  <si>
    <t xml:space="preserve">INV-50152</t>
  </si>
  <si>
    <t xml:space="preserve">SALE-00058</t>
  </si>
  <si>
    <t xml:space="preserve">INV-63623</t>
  </si>
  <si>
    <t xml:space="preserve">SALE-00059</t>
  </si>
  <si>
    <t xml:space="preserve">INV-57922</t>
  </si>
  <si>
    <t xml:space="preserve">SALE-00060</t>
  </si>
  <si>
    <t xml:space="preserve">INV-15462</t>
  </si>
  <si>
    <t xml:space="preserve">SALE-00061</t>
  </si>
  <si>
    <t xml:space="preserve">INV-40564</t>
  </si>
  <si>
    <t xml:space="preserve">SALE-00062</t>
  </si>
  <si>
    <t xml:space="preserve">INV-43441</t>
  </si>
  <si>
    <t xml:space="preserve">SALE-00063</t>
  </si>
  <si>
    <t xml:space="preserve">INV-56208</t>
  </si>
  <si>
    <t xml:space="preserve">SALE-00064</t>
  </si>
  <si>
    <t xml:space="preserve">INV-81957</t>
  </si>
  <si>
    <t xml:space="preserve">SALE-00065</t>
  </si>
  <si>
    <t xml:space="preserve">INV-17309</t>
  </si>
  <si>
    <t xml:space="preserve">SALE-00066</t>
  </si>
  <si>
    <t xml:space="preserve">INV-75804</t>
  </si>
  <si>
    <t xml:space="preserve">SALE-00067</t>
  </si>
  <si>
    <t xml:space="preserve">INV-26022</t>
  </si>
  <si>
    <t xml:space="preserve">SALE-00068</t>
  </si>
  <si>
    <t xml:space="preserve">INV-21314</t>
  </si>
  <si>
    <t xml:space="preserve">SALE-00069</t>
  </si>
  <si>
    <t xml:space="preserve">INV-74498</t>
  </si>
  <si>
    <t xml:space="preserve">SALE-00070</t>
  </si>
  <si>
    <t xml:space="preserve">INV-80490</t>
  </si>
  <si>
    <t xml:space="preserve">SALE-00071</t>
  </si>
  <si>
    <t xml:space="preserve">INV-80702</t>
  </si>
  <si>
    <t xml:space="preserve">SALE-00072</t>
  </si>
  <si>
    <t xml:space="preserve">INV-60381</t>
  </si>
  <si>
    <t xml:space="preserve">SALE-00073</t>
  </si>
  <si>
    <t xml:space="preserve">INV-42319</t>
  </si>
  <si>
    <t xml:space="preserve">SALE-00074</t>
  </si>
  <si>
    <t xml:space="preserve">INV-43962</t>
  </si>
  <si>
    <t xml:space="preserve">SALE-00075</t>
  </si>
  <si>
    <t xml:space="preserve">INV-21243</t>
  </si>
  <si>
    <t xml:space="preserve">SALE-00076</t>
  </si>
  <si>
    <t xml:space="preserve">INV-73007</t>
  </si>
  <si>
    <t xml:space="preserve">SALE-00077</t>
  </si>
  <si>
    <t xml:space="preserve">INV-71791</t>
  </si>
  <si>
    <t xml:space="preserve">SALE-00078</t>
  </si>
  <si>
    <t xml:space="preserve">INV-42422</t>
  </si>
  <si>
    <t xml:space="preserve">SALE-00079</t>
  </si>
  <si>
    <t xml:space="preserve">INV-23450</t>
  </si>
  <si>
    <t xml:space="preserve">SALE-00080</t>
  </si>
  <si>
    <t xml:space="preserve">INV-27198</t>
  </si>
  <si>
    <t xml:space="preserve">SALE-00081</t>
  </si>
  <si>
    <t xml:space="preserve">INV-86109</t>
  </si>
  <si>
    <t xml:space="preserve">SALE-00082</t>
  </si>
  <si>
    <t xml:space="preserve">INV-58852</t>
  </si>
  <si>
    <t xml:space="preserve">SALE-00083</t>
  </si>
  <si>
    <t xml:space="preserve">INV-12562</t>
  </si>
  <si>
    <t xml:space="preserve">SALE-00084</t>
  </si>
  <si>
    <t xml:space="preserve">INV-29692</t>
  </si>
  <si>
    <t xml:space="preserve">SALE-00085</t>
  </si>
  <si>
    <t xml:space="preserve">INV-57395</t>
  </si>
  <si>
    <t xml:space="preserve">SALE-00086</t>
  </si>
  <si>
    <t xml:space="preserve">INV-66874</t>
  </si>
  <si>
    <t xml:space="preserve">SALE-00087</t>
  </si>
  <si>
    <t xml:space="preserve">INV-97179</t>
  </si>
  <si>
    <t xml:space="preserve">SALE-00088</t>
  </si>
  <si>
    <t xml:space="preserve">INV-24128</t>
  </si>
  <si>
    <t xml:space="preserve">SALE-00089</t>
  </si>
  <si>
    <t xml:space="preserve">INV-96208</t>
  </si>
  <si>
    <t xml:space="preserve">SALE-00090</t>
  </si>
  <si>
    <t xml:space="preserve">INV-37847</t>
  </si>
  <si>
    <t xml:space="preserve">SALE-00091</t>
  </si>
  <si>
    <t xml:space="preserve">INV-11371</t>
  </si>
  <si>
    <t xml:space="preserve">SALE-00092</t>
  </si>
  <si>
    <t xml:space="preserve">INV-99700</t>
  </si>
  <si>
    <t xml:space="preserve">SALE-00093</t>
  </si>
  <si>
    <t xml:space="preserve">INV-22188</t>
  </si>
  <si>
    <t xml:space="preserve">SALE-00094</t>
  </si>
  <si>
    <t xml:space="preserve">INV-82900</t>
  </si>
  <si>
    <t xml:space="preserve">SALE-00095</t>
  </si>
  <si>
    <t xml:space="preserve">INV-37722</t>
  </si>
  <si>
    <t xml:space="preserve">SALE-00096</t>
  </si>
  <si>
    <t xml:space="preserve">INV-36816</t>
  </si>
  <si>
    <t xml:space="preserve">SALE-00097</t>
  </si>
  <si>
    <t xml:space="preserve">INV-12247</t>
  </si>
  <si>
    <t xml:space="preserve">SALE-00098</t>
  </si>
  <si>
    <t xml:space="preserve">INV-86525</t>
  </si>
  <si>
    <t xml:space="preserve">SALE-00099</t>
  </si>
  <si>
    <t xml:space="preserve">INV-52047</t>
  </si>
  <si>
    <t xml:space="preserve">SALE-00100</t>
  </si>
  <si>
    <t xml:space="preserve">INV-38141</t>
  </si>
  <si>
    <t xml:space="preserve">SALE-00101</t>
  </si>
  <si>
    <t xml:space="preserve">INV-11596</t>
  </si>
  <si>
    <t xml:space="preserve">SALE-00102</t>
  </si>
  <si>
    <t xml:space="preserve">INV-39117</t>
  </si>
  <si>
    <t xml:space="preserve">SALE-00103</t>
  </si>
  <si>
    <t xml:space="preserve">INV-93468</t>
  </si>
  <si>
    <t xml:space="preserve">SALE-00104</t>
  </si>
  <si>
    <t xml:space="preserve">INV-72299</t>
  </si>
  <si>
    <t xml:space="preserve">SALE-00105</t>
  </si>
  <si>
    <t xml:space="preserve">INV-92776</t>
  </si>
  <si>
    <t xml:space="preserve">SALE-00106</t>
  </si>
  <si>
    <t xml:space="preserve">INV-48595</t>
  </si>
  <si>
    <t xml:space="preserve">SALE-00107</t>
  </si>
  <si>
    <t xml:space="preserve">INV-11791</t>
  </si>
  <si>
    <t xml:space="preserve">SALE-00108</t>
  </si>
  <si>
    <t xml:space="preserve">INV-65939</t>
  </si>
  <si>
    <t xml:space="preserve">SALE-00109</t>
  </si>
  <si>
    <t xml:space="preserve">INV-49000</t>
  </si>
  <si>
    <t xml:space="preserve">SALE-00110</t>
  </si>
  <si>
    <t xml:space="preserve">INV-52849</t>
  </si>
  <si>
    <t xml:space="preserve">SALE-00111</t>
  </si>
  <si>
    <t xml:space="preserve">INV-10405</t>
  </si>
  <si>
    <t xml:space="preserve">SALE-00112</t>
  </si>
  <si>
    <t xml:space="preserve">INV-77279</t>
  </si>
  <si>
    <t xml:space="preserve">SALE-00113</t>
  </si>
  <si>
    <t xml:space="preserve">INV-68768</t>
  </si>
  <si>
    <t xml:space="preserve">SALE-00114</t>
  </si>
  <si>
    <t xml:space="preserve">INV-24423</t>
  </si>
  <si>
    <t xml:space="preserve">SALE-00115</t>
  </si>
  <si>
    <t xml:space="preserve">INV-94871</t>
  </si>
  <si>
    <t xml:space="preserve">SALE-00116</t>
  </si>
  <si>
    <t xml:space="preserve">INV-84604</t>
  </si>
  <si>
    <t xml:space="preserve">SALE-00117</t>
  </si>
  <si>
    <t xml:space="preserve">INV-18304</t>
  </si>
  <si>
    <t xml:space="preserve">SALE-00118</t>
  </si>
  <si>
    <t xml:space="preserve">INV-94585</t>
  </si>
  <si>
    <t xml:space="preserve">SALE-00119</t>
  </si>
  <si>
    <t xml:space="preserve">INV-27546</t>
  </si>
  <si>
    <t xml:space="preserve">SALE-00120</t>
  </si>
  <si>
    <t xml:space="preserve">INV-72016</t>
  </si>
  <si>
    <t xml:space="preserve">SALE-00121</t>
  </si>
  <si>
    <t xml:space="preserve">INV-17395</t>
  </si>
  <si>
    <t xml:space="preserve">SALE-00122</t>
  </si>
  <si>
    <t xml:space="preserve">INV-19389</t>
  </si>
  <si>
    <t xml:space="preserve">SALE-00123</t>
  </si>
  <si>
    <t xml:space="preserve">INV-24069</t>
  </si>
  <si>
    <t xml:space="preserve">SALE-00124</t>
  </si>
  <si>
    <t xml:space="preserve">INV-70605</t>
  </si>
  <si>
    <t xml:space="preserve">SALE-00125</t>
  </si>
  <si>
    <t xml:space="preserve">INV-44182</t>
  </si>
  <si>
    <t xml:space="preserve">SALE-00126</t>
  </si>
  <si>
    <t xml:space="preserve">INV-14945</t>
  </si>
  <si>
    <t xml:space="preserve">SALE-00127</t>
  </si>
  <si>
    <t xml:space="preserve">INV-25183</t>
  </si>
  <si>
    <t xml:space="preserve">SALE-00128</t>
  </si>
  <si>
    <t xml:space="preserve">INV-96836</t>
  </si>
  <si>
    <t xml:space="preserve">SALE-00129</t>
  </si>
  <si>
    <t xml:space="preserve">INV-85370</t>
  </si>
  <si>
    <t xml:space="preserve">SALE-00130</t>
  </si>
  <si>
    <t xml:space="preserve">INV-65146</t>
  </si>
  <si>
    <t xml:space="preserve">SALE-00131</t>
  </si>
  <si>
    <t xml:space="preserve">INV-95886</t>
  </si>
  <si>
    <t xml:space="preserve">SALE-00132</t>
  </si>
  <si>
    <t xml:space="preserve">INV-21034</t>
  </si>
  <si>
    <t xml:space="preserve">SALE-00133</t>
  </si>
  <si>
    <t xml:space="preserve">INV-31912</t>
  </si>
  <si>
    <t xml:space="preserve">SALE-00134</t>
  </si>
  <si>
    <t xml:space="preserve">INV-79167</t>
  </si>
  <si>
    <t xml:space="preserve">SALE-00135</t>
  </si>
  <si>
    <t xml:space="preserve">INV-12082</t>
  </si>
  <si>
    <t xml:space="preserve">SALE-00136</t>
  </si>
  <si>
    <t xml:space="preserve">INV-13496</t>
  </si>
  <si>
    <t xml:space="preserve">SALE-00137</t>
  </si>
  <si>
    <t xml:space="preserve">INV-16654</t>
  </si>
  <si>
    <t xml:space="preserve">SALE-00138</t>
  </si>
  <si>
    <t xml:space="preserve">INV-61213</t>
  </si>
  <si>
    <t xml:space="preserve">SALE-00139</t>
  </si>
  <si>
    <t xml:space="preserve">INV-91585</t>
  </si>
  <si>
    <t xml:space="preserve">SALE-00140</t>
  </si>
  <si>
    <t xml:space="preserve">INV-45722</t>
  </si>
  <si>
    <t xml:space="preserve">SALE-00141</t>
  </si>
  <si>
    <t xml:space="preserve">INV-13853</t>
  </si>
  <si>
    <t xml:space="preserve">SALE-00142</t>
  </si>
  <si>
    <t xml:space="preserve">INV-53370</t>
  </si>
  <si>
    <t xml:space="preserve">SALE-00143</t>
  </si>
  <si>
    <t xml:space="preserve">INV-26194</t>
  </si>
  <si>
    <t xml:space="preserve">SALE-00144</t>
  </si>
  <si>
    <t xml:space="preserve">INV-49626</t>
  </si>
  <si>
    <t xml:space="preserve">SALE-00145</t>
  </si>
  <si>
    <t xml:space="preserve">INV-51822</t>
  </si>
  <si>
    <t xml:space="preserve">SALE-00146</t>
  </si>
  <si>
    <t xml:space="preserve">INV-68361</t>
  </si>
  <si>
    <t xml:space="preserve">SALE-00147</t>
  </si>
  <si>
    <t xml:space="preserve">INV-73442</t>
  </si>
  <si>
    <t xml:space="preserve">SALE-00148</t>
  </si>
  <si>
    <t xml:space="preserve">INV-87795</t>
  </si>
  <si>
    <t xml:space="preserve">SALE-00149</t>
  </si>
  <si>
    <t xml:space="preserve">INV-68313</t>
  </si>
  <si>
    <t xml:space="preserve">SALE-00150</t>
  </si>
  <si>
    <t xml:space="preserve">INV-43910</t>
  </si>
  <si>
    <t xml:space="preserve">SALE-00151</t>
  </si>
  <si>
    <t xml:space="preserve">INV-59344</t>
  </si>
  <si>
    <t xml:space="preserve">SALE-00152</t>
  </si>
  <si>
    <t xml:space="preserve">INV-50644</t>
  </si>
  <si>
    <t xml:space="preserve">SALE-00153</t>
  </si>
  <si>
    <t xml:space="preserve">INV-43222</t>
  </si>
  <si>
    <t xml:space="preserve">SALE-00154</t>
  </si>
  <si>
    <t xml:space="preserve">INV-18432</t>
  </si>
  <si>
    <t xml:space="preserve">SALE-00155</t>
  </si>
  <si>
    <t xml:space="preserve">INV-96201</t>
  </si>
  <si>
    <t xml:space="preserve">SALE-00156</t>
  </si>
  <si>
    <t xml:space="preserve">INV-49826</t>
  </si>
  <si>
    <t xml:space="preserve">SALE-00157</t>
  </si>
  <si>
    <t xml:space="preserve">INV-33779</t>
  </si>
  <si>
    <t xml:space="preserve">SALE-00158</t>
  </si>
  <si>
    <t xml:space="preserve">INV-46236</t>
  </si>
  <si>
    <t xml:space="preserve">SALE-00159</t>
  </si>
  <si>
    <t xml:space="preserve">INV-88701</t>
  </si>
  <si>
    <t xml:space="preserve">SALE-00160</t>
  </si>
  <si>
    <t xml:space="preserve">INV-12451</t>
  </si>
  <si>
    <t xml:space="preserve">SALE-00161</t>
  </si>
  <si>
    <t xml:space="preserve">INV-29807</t>
  </si>
  <si>
    <t xml:space="preserve">SALE-00162</t>
  </si>
  <si>
    <t xml:space="preserve">INV-60241</t>
  </si>
  <si>
    <t xml:space="preserve">SALE-00163</t>
  </si>
  <si>
    <t xml:space="preserve">INV-64189</t>
  </si>
  <si>
    <t xml:space="preserve">SALE-00164</t>
  </si>
  <si>
    <t xml:space="preserve">INV-67040</t>
  </si>
  <si>
    <t xml:space="preserve">SALE-00165</t>
  </si>
  <si>
    <t xml:space="preserve">INV-93482</t>
  </si>
  <si>
    <t xml:space="preserve">SALE-00166</t>
  </si>
  <si>
    <t xml:space="preserve">INV-94178</t>
  </si>
  <si>
    <t xml:space="preserve">SALE-00167</t>
  </si>
  <si>
    <t xml:space="preserve">INV-72442</t>
  </si>
  <si>
    <t xml:space="preserve">SALE-00168</t>
  </si>
  <si>
    <t xml:space="preserve">INV-39610</t>
  </si>
  <si>
    <t xml:space="preserve">SALE-00169</t>
  </si>
  <si>
    <t xml:space="preserve">INV-64254</t>
  </si>
  <si>
    <t xml:space="preserve">SALE-00170</t>
  </si>
  <si>
    <t xml:space="preserve">INV-43818</t>
  </si>
  <si>
    <t xml:space="preserve">SALE-00171</t>
  </si>
  <si>
    <t xml:space="preserve">INV-93225</t>
  </si>
  <si>
    <t xml:space="preserve">SALE-00172</t>
  </si>
  <si>
    <t xml:space="preserve">SALE-00173</t>
  </si>
  <si>
    <t xml:space="preserve">INV-79904</t>
  </si>
  <si>
    <t xml:space="preserve">SALE-00174</t>
  </si>
  <si>
    <t xml:space="preserve">INV-28817</t>
  </si>
  <si>
    <t xml:space="preserve">SALE-00175</t>
  </si>
  <si>
    <t xml:space="preserve">INV-67954</t>
  </si>
  <si>
    <t xml:space="preserve">SALE-00176</t>
  </si>
  <si>
    <t xml:space="preserve">INV-82746</t>
  </si>
  <si>
    <t xml:space="preserve">SALE-00177</t>
  </si>
  <si>
    <t xml:space="preserve">INV-85641</t>
  </si>
  <si>
    <t xml:space="preserve">SALE-00178</t>
  </si>
  <si>
    <t xml:space="preserve">INV-46423</t>
  </si>
  <si>
    <t xml:space="preserve">SALE-00179</t>
  </si>
  <si>
    <t xml:space="preserve">INV-56456</t>
  </si>
  <si>
    <t xml:space="preserve">SALE-00180</t>
  </si>
  <si>
    <t xml:space="preserve">INV-38743</t>
  </si>
  <si>
    <t xml:space="preserve">SALE-00181</t>
  </si>
  <si>
    <t xml:space="preserve">INV-42612</t>
  </si>
  <si>
    <t xml:space="preserve">SALE-00182</t>
  </si>
  <si>
    <t xml:space="preserve">INV-36309</t>
  </si>
  <si>
    <t xml:space="preserve">SALE-00183</t>
  </si>
  <si>
    <t xml:space="preserve">INV-45108</t>
  </si>
  <si>
    <t xml:space="preserve">SALE-00184</t>
  </si>
  <si>
    <t xml:space="preserve">INV-31641</t>
  </si>
  <si>
    <t xml:space="preserve">SALE-00185</t>
  </si>
  <si>
    <t xml:space="preserve">INV-79486</t>
  </si>
  <si>
    <t xml:space="preserve">SALE-00186</t>
  </si>
  <si>
    <t xml:space="preserve">INV-57921</t>
  </si>
  <si>
    <t xml:space="preserve">SALE-00187</t>
  </si>
  <si>
    <t xml:space="preserve">INV-13207</t>
  </si>
  <si>
    <t xml:space="preserve">SALE-00188</t>
  </si>
  <si>
    <t xml:space="preserve">INV-29321</t>
  </si>
  <si>
    <t xml:space="preserve">SALE-00189</t>
  </si>
  <si>
    <t xml:space="preserve">INV-88327</t>
  </si>
  <si>
    <t xml:space="preserve">SALE-00190</t>
  </si>
  <si>
    <t xml:space="preserve">INV-97260</t>
  </si>
  <si>
    <t xml:space="preserve">SALE-00191</t>
  </si>
  <si>
    <t xml:space="preserve">INV-61728</t>
  </si>
  <si>
    <t xml:space="preserve">SALE-00192</t>
  </si>
  <si>
    <t xml:space="preserve">INV-56068</t>
  </si>
  <si>
    <t xml:space="preserve">SALE-00193</t>
  </si>
  <si>
    <t xml:space="preserve">INV-69584</t>
  </si>
  <si>
    <t xml:space="preserve">SALE-00194</t>
  </si>
  <si>
    <t xml:space="preserve">INV-80102</t>
  </si>
  <si>
    <t xml:space="preserve">SALE-00195</t>
  </si>
  <si>
    <t xml:space="preserve">INV-20672</t>
  </si>
  <si>
    <t xml:space="preserve">SALE-00196</t>
  </si>
  <si>
    <t xml:space="preserve">INV-54492</t>
  </si>
  <si>
    <t xml:space="preserve">SALE-00197</t>
  </si>
  <si>
    <t xml:space="preserve">INV-84552</t>
  </si>
  <si>
    <t xml:space="preserve">SALE-00198</t>
  </si>
  <si>
    <t xml:space="preserve">INV-38781</t>
  </si>
  <si>
    <t xml:space="preserve">SALE-00199</t>
  </si>
  <si>
    <t xml:space="preserve">INV-53389</t>
  </si>
  <si>
    <t xml:space="preserve">SALE-00200</t>
  </si>
  <si>
    <t xml:space="preserve">INV-66444</t>
  </si>
  <si>
    <t xml:space="preserve">SALE-00201</t>
  </si>
  <si>
    <t xml:space="preserve">INV-24142</t>
  </si>
  <si>
    <t xml:space="preserve">SALE-00202</t>
  </si>
  <si>
    <t xml:space="preserve">INV-92914</t>
  </si>
  <si>
    <t xml:space="preserve">SALE-00203</t>
  </si>
  <si>
    <t xml:space="preserve">INV-52497</t>
  </si>
  <si>
    <t xml:space="preserve">SALE-00204</t>
  </si>
  <si>
    <t xml:space="preserve">INV-90877</t>
  </si>
  <si>
    <t xml:space="preserve">SALE-00205</t>
  </si>
  <si>
    <t xml:space="preserve">INV-52206</t>
  </si>
  <si>
    <t xml:space="preserve">SALE-00206</t>
  </si>
  <si>
    <t xml:space="preserve">INV-89452</t>
  </si>
  <si>
    <t xml:space="preserve">SALE-00207</t>
  </si>
  <si>
    <t xml:space="preserve">INV-85033</t>
  </si>
  <si>
    <t xml:space="preserve">SALE-00208</t>
  </si>
  <si>
    <t xml:space="preserve">INV-20308</t>
  </si>
  <si>
    <t xml:space="preserve">SALE-00209</t>
  </si>
  <si>
    <t xml:space="preserve">INV-74221</t>
  </si>
  <si>
    <t xml:space="preserve">SALE-00210</t>
  </si>
  <si>
    <t xml:space="preserve">INV-81565</t>
  </si>
  <si>
    <t xml:space="preserve">SALE-00211</t>
  </si>
  <si>
    <t xml:space="preserve">INV-35504</t>
  </si>
  <si>
    <t xml:space="preserve">SALE-00212</t>
  </si>
  <si>
    <t xml:space="preserve">INV-54690</t>
  </si>
  <si>
    <t xml:space="preserve">SALE-00213</t>
  </si>
  <si>
    <t xml:space="preserve">INV-97090</t>
  </si>
  <si>
    <t xml:space="preserve">SALE-00214</t>
  </si>
  <si>
    <t xml:space="preserve">INV-44806</t>
  </si>
  <si>
    <t xml:space="preserve">SALE-00215</t>
  </si>
  <si>
    <t xml:space="preserve">INV-23294</t>
  </si>
  <si>
    <t xml:space="preserve">SALE-00216</t>
  </si>
  <si>
    <t xml:space="preserve">INV-24459</t>
  </si>
  <si>
    <t xml:space="preserve">SALE-00217</t>
  </si>
  <si>
    <t xml:space="preserve">INV-65156</t>
  </si>
  <si>
    <t xml:space="preserve">SALE-00218</t>
  </si>
  <si>
    <t xml:space="preserve">INV-18046</t>
  </si>
  <si>
    <t xml:space="preserve">SALE-00219</t>
  </si>
  <si>
    <t xml:space="preserve">INV-31632</t>
  </si>
  <si>
    <t xml:space="preserve">SALE-00220</t>
  </si>
  <si>
    <t xml:space="preserve">INV-83751</t>
  </si>
  <si>
    <t xml:space="preserve">SALE-00221</t>
  </si>
  <si>
    <t xml:space="preserve">INV-92701</t>
  </si>
  <si>
    <t xml:space="preserve">SALE-00222</t>
  </si>
  <si>
    <t xml:space="preserve">INV-62985</t>
  </si>
  <si>
    <t xml:space="preserve">SALE-00223</t>
  </si>
  <si>
    <t xml:space="preserve">INV-48751</t>
  </si>
  <si>
    <t xml:space="preserve">SALE-00224</t>
  </si>
  <si>
    <t xml:space="preserve">INV-13969</t>
  </si>
  <si>
    <t xml:space="preserve">SALE-00225</t>
  </si>
  <si>
    <t xml:space="preserve">INV-44103</t>
  </si>
  <si>
    <t xml:space="preserve">SALE-00226</t>
  </si>
  <si>
    <t xml:space="preserve">INV-25371</t>
  </si>
  <si>
    <t xml:space="preserve">SALE-00227</t>
  </si>
  <si>
    <t xml:space="preserve">INV-38434</t>
  </si>
  <si>
    <t xml:space="preserve">SALE-00228</t>
  </si>
  <si>
    <t xml:space="preserve">INV-28335</t>
  </si>
  <si>
    <t xml:space="preserve">SALE-00229</t>
  </si>
  <si>
    <t xml:space="preserve">INV-52058</t>
  </si>
  <si>
    <t xml:space="preserve">SALE-00230</t>
  </si>
  <si>
    <t xml:space="preserve">INV-88416</t>
  </si>
  <si>
    <t xml:space="preserve">SALE-00231</t>
  </si>
  <si>
    <t xml:space="preserve">INV-77325</t>
  </si>
  <si>
    <t xml:space="preserve">SALE-00232</t>
  </si>
  <si>
    <t xml:space="preserve">INV-55623</t>
  </si>
  <si>
    <t xml:space="preserve">SALE-00233</t>
  </si>
  <si>
    <t xml:space="preserve">INV-31161</t>
  </si>
  <si>
    <t xml:space="preserve">SALE-00234</t>
  </si>
  <si>
    <t xml:space="preserve">INV-15739</t>
  </si>
  <si>
    <t xml:space="preserve">SALE-00235</t>
  </si>
  <si>
    <t xml:space="preserve">INV-17249</t>
  </si>
  <si>
    <t xml:space="preserve">SALE-00236</t>
  </si>
  <si>
    <t xml:space="preserve">INV-38825</t>
  </si>
  <si>
    <t xml:space="preserve">SALE-00237</t>
  </si>
  <si>
    <t xml:space="preserve">INV-18024</t>
  </si>
  <si>
    <t xml:space="preserve">SALE-00238</t>
  </si>
  <si>
    <t xml:space="preserve">INV-29182</t>
  </si>
  <si>
    <t xml:space="preserve">SALE-00239</t>
  </si>
  <si>
    <t xml:space="preserve">INV-84053</t>
  </si>
  <si>
    <t xml:space="preserve">SALE-00240</t>
  </si>
  <si>
    <t xml:space="preserve">INV-80505</t>
  </si>
  <si>
    <t xml:space="preserve">SALE-00241</t>
  </si>
  <si>
    <t xml:space="preserve">INV-46532</t>
  </si>
  <si>
    <t xml:space="preserve">SALE-00242</t>
  </si>
  <si>
    <t xml:space="preserve">INV-75402</t>
  </si>
  <si>
    <t xml:space="preserve">SALE-00243</t>
  </si>
  <si>
    <t xml:space="preserve">INV-10229</t>
  </si>
  <si>
    <t xml:space="preserve">SALE-00244</t>
  </si>
  <si>
    <t xml:space="preserve">INV-88723</t>
  </si>
  <si>
    <t xml:space="preserve">SALE-00245</t>
  </si>
  <si>
    <t xml:space="preserve">INV-38424</t>
  </si>
  <si>
    <t xml:space="preserve">SALE-00246</t>
  </si>
  <si>
    <t xml:space="preserve">INV-26840</t>
  </si>
  <si>
    <t xml:space="preserve">SALE-00247</t>
  </si>
  <si>
    <t xml:space="preserve">INV-69084</t>
  </si>
  <si>
    <t xml:space="preserve">SALE-00248</t>
  </si>
  <si>
    <t xml:space="preserve">INV-74767</t>
  </si>
  <si>
    <t xml:space="preserve">SALE-00249</t>
  </si>
  <si>
    <t xml:space="preserve">INV-24898</t>
  </si>
  <si>
    <t xml:space="preserve">SALE-00250</t>
  </si>
  <si>
    <t xml:space="preserve">INV-18133</t>
  </si>
  <si>
    <t xml:space="preserve">SALE-00251</t>
  </si>
  <si>
    <t xml:space="preserve">INV-49318</t>
  </si>
  <si>
    <t xml:space="preserve">SALE-00252</t>
  </si>
  <si>
    <t xml:space="preserve">INV-22408</t>
  </si>
  <si>
    <t xml:space="preserve">SALE-00253</t>
  </si>
  <si>
    <t xml:space="preserve">INV-39474</t>
  </si>
  <si>
    <t xml:space="preserve">SALE-00254</t>
  </si>
  <si>
    <t xml:space="preserve">INV-87974</t>
  </si>
  <si>
    <t xml:space="preserve">SALE-00255</t>
  </si>
  <si>
    <t xml:space="preserve">INV-98392</t>
  </si>
  <si>
    <t xml:space="preserve">SALE-00256</t>
  </si>
  <si>
    <t xml:space="preserve">INV-46769</t>
  </si>
  <si>
    <t xml:space="preserve">SALE-00257</t>
  </si>
  <si>
    <t xml:space="preserve">INV-52987</t>
  </si>
  <si>
    <t xml:space="preserve">SALE-00258</t>
  </si>
  <si>
    <t xml:space="preserve">INV-59197</t>
  </si>
  <si>
    <t xml:space="preserve">SALE-00259</t>
  </si>
  <si>
    <t xml:space="preserve">INV-79131</t>
  </si>
  <si>
    <t xml:space="preserve">SALE-00260</t>
  </si>
  <si>
    <t xml:space="preserve">INV-85106</t>
  </si>
  <si>
    <t xml:space="preserve">SALE-00261</t>
  </si>
  <si>
    <t xml:space="preserve">INV-63847</t>
  </si>
  <si>
    <t xml:space="preserve">SALE-00262</t>
  </si>
  <si>
    <t xml:space="preserve">INV-21316</t>
  </si>
  <si>
    <t xml:space="preserve">SALE-00263</t>
  </si>
  <si>
    <t xml:space="preserve">INV-39175</t>
  </si>
  <si>
    <t xml:space="preserve">SALE-00264</t>
  </si>
  <si>
    <t xml:space="preserve">INV-41083</t>
  </si>
  <si>
    <t xml:space="preserve">SALE-00265</t>
  </si>
  <si>
    <t xml:space="preserve">INV-68269</t>
  </si>
  <si>
    <t xml:space="preserve">SALE-00266</t>
  </si>
  <si>
    <t xml:space="preserve">INV-48861</t>
  </si>
  <si>
    <t xml:space="preserve">SALE-00267</t>
  </si>
  <si>
    <t xml:space="preserve">INV-77742</t>
  </si>
  <si>
    <t xml:space="preserve">SALE-00268</t>
  </si>
  <si>
    <t xml:space="preserve">INV-16374</t>
  </si>
  <si>
    <t xml:space="preserve">SALE-00269</t>
  </si>
  <si>
    <t xml:space="preserve">INV-35112</t>
  </si>
  <si>
    <t xml:space="preserve">SALE-00270</t>
  </si>
  <si>
    <t xml:space="preserve">INV-47976</t>
  </si>
  <si>
    <t xml:space="preserve">SALE-00271</t>
  </si>
  <si>
    <t xml:space="preserve">INV-74854</t>
  </si>
  <si>
    <t xml:space="preserve">SALE-00272</t>
  </si>
  <si>
    <t xml:space="preserve">INV-13331</t>
  </si>
  <si>
    <t xml:space="preserve">SALE-00273</t>
  </si>
  <si>
    <t xml:space="preserve">INV-77264</t>
  </si>
  <si>
    <t xml:space="preserve">SALE-00274</t>
  </si>
  <si>
    <t xml:space="preserve">INV-97017</t>
  </si>
  <si>
    <t xml:space="preserve">SALE-00275</t>
  </si>
  <si>
    <t xml:space="preserve">INV-72763</t>
  </si>
  <si>
    <t xml:space="preserve">SALE-00276</t>
  </si>
  <si>
    <t xml:space="preserve">INV-35017</t>
  </si>
  <si>
    <t xml:space="preserve">SALE-00277</t>
  </si>
  <si>
    <t xml:space="preserve">INV-33050</t>
  </si>
  <si>
    <t xml:space="preserve">SALE-00278</t>
  </si>
  <si>
    <t xml:space="preserve">INV-68910</t>
  </si>
  <si>
    <t xml:space="preserve">SALE-00279</t>
  </si>
  <si>
    <t xml:space="preserve">INV-50714</t>
  </si>
  <si>
    <t xml:space="preserve">SALE-00280</t>
  </si>
  <si>
    <t xml:space="preserve">INV-51260</t>
  </si>
  <si>
    <t xml:space="preserve">SALE-00281</t>
  </si>
  <si>
    <t xml:space="preserve">INV-96511</t>
  </si>
  <si>
    <t xml:space="preserve">SALE-00282</t>
  </si>
  <si>
    <t xml:space="preserve">INV-20460</t>
  </si>
  <si>
    <t xml:space="preserve">SALE-00283</t>
  </si>
  <si>
    <t xml:space="preserve">INV-72851</t>
  </si>
  <si>
    <t xml:space="preserve">SALE-00284</t>
  </si>
  <si>
    <t xml:space="preserve">INV-58198</t>
  </si>
  <si>
    <t xml:space="preserve">SALE-00285</t>
  </si>
  <si>
    <t xml:space="preserve">INV-53338</t>
  </si>
  <si>
    <t xml:space="preserve">SALE-00286</t>
  </si>
  <si>
    <t xml:space="preserve">INV-90016</t>
  </si>
  <si>
    <t xml:space="preserve">SALE-00287</t>
  </si>
  <si>
    <t xml:space="preserve">INV-54035</t>
  </si>
  <si>
    <t xml:space="preserve">SALE-00288</t>
  </si>
  <si>
    <t xml:space="preserve">INV-57243</t>
  </si>
  <si>
    <t xml:space="preserve">SALE-00289</t>
  </si>
  <si>
    <t xml:space="preserve">INV-80625</t>
  </si>
  <si>
    <t xml:space="preserve">SALE-00290</t>
  </si>
  <si>
    <t xml:space="preserve">INV-82451</t>
  </si>
  <si>
    <t xml:space="preserve">SALE-00291</t>
  </si>
  <si>
    <t xml:space="preserve">INV-61624</t>
  </si>
  <si>
    <t xml:space="preserve">SALE-00292</t>
  </si>
  <si>
    <t xml:space="preserve">INV-43091</t>
  </si>
  <si>
    <t xml:space="preserve">SALE-00293</t>
  </si>
  <si>
    <t xml:space="preserve">INV-43014</t>
  </si>
  <si>
    <t xml:space="preserve">SALE-00294</t>
  </si>
  <si>
    <t xml:space="preserve">INV-24391</t>
  </si>
  <si>
    <t xml:space="preserve">SALE-00295</t>
  </si>
  <si>
    <t xml:space="preserve">INV-13228</t>
  </si>
  <si>
    <t xml:space="preserve">SALE-00296</t>
  </si>
  <si>
    <t xml:space="preserve">INV-62391</t>
  </si>
  <si>
    <t xml:space="preserve">SALE-00297</t>
  </si>
  <si>
    <t xml:space="preserve">INV-74043</t>
  </si>
  <si>
    <t xml:space="preserve">SALE-00298</t>
  </si>
  <si>
    <t xml:space="preserve">INV-96908</t>
  </si>
  <si>
    <t xml:space="preserve">SALE-00299</t>
  </si>
  <si>
    <t xml:space="preserve">INV-36912</t>
  </si>
  <si>
    <t xml:space="preserve">SALE-00300</t>
  </si>
  <si>
    <t xml:space="preserve">INV-25728</t>
  </si>
  <si>
    <t xml:space="preserve">SALE-00301</t>
  </si>
  <si>
    <t xml:space="preserve">INV-96794</t>
  </si>
  <si>
    <t xml:space="preserve">SALE-00302</t>
  </si>
  <si>
    <t xml:space="preserve">INV-58137</t>
  </si>
  <si>
    <t xml:space="preserve">SALE-00303</t>
  </si>
  <si>
    <t xml:space="preserve">INV-35551</t>
  </si>
  <si>
    <t xml:space="preserve">SALE-00304</t>
  </si>
  <si>
    <t xml:space="preserve">INV-37305</t>
  </si>
  <si>
    <t xml:space="preserve">SALE-00305</t>
  </si>
  <si>
    <t xml:space="preserve">INV-42210</t>
  </si>
  <si>
    <t xml:space="preserve">SALE-00306</t>
  </si>
  <si>
    <t xml:space="preserve">INV-85208</t>
  </si>
  <si>
    <t xml:space="preserve">SALE-00307</t>
  </si>
  <si>
    <t xml:space="preserve">INV-63344</t>
  </si>
  <si>
    <t xml:space="preserve">SALE-00308</t>
  </si>
  <si>
    <t xml:space="preserve">INV-27492</t>
  </si>
  <si>
    <t xml:space="preserve">SALE-00309</t>
  </si>
  <si>
    <t xml:space="preserve">INV-56798</t>
  </si>
  <si>
    <t xml:space="preserve">SALE-00310</t>
  </si>
  <si>
    <t xml:space="preserve">INV-42148</t>
  </si>
  <si>
    <t xml:space="preserve">SALE-00311</t>
  </si>
  <si>
    <t xml:space="preserve">INV-40458</t>
  </si>
  <si>
    <t xml:space="preserve">SALE-00312</t>
  </si>
  <si>
    <t xml:space="preserve">INV-76113</t>
  </si>
  <si>
    <t xml:space="preserve">SALE-00313</t>
  </si>
  <si>
    <t xml:space="preserve">INV-86956</t>
  </si>
  <si>
    <t xml:space="preserve">SALE-00314</t>
  </si>
  <si>
    <t xml:space="preserve">INV-11088</t>
  </si>
  <si>
    <t xml:space="preserve">SALE-00315</t>
  </si>
  <si>
    <t xml:space="preserve">INV-96638</t>
  </si>
  <si>
    <t xml:space="preserve">SALE-00316</t>
  </si>
  <si>
    <t xml:space="preserve">INV-83461</t>
  </si>
  <si>
    <t xml:space="preserve">SALE-00317</t>
  </si>
  <si>
    <t xml:space="preserve">INV-12510</t>
  </si>
  <si>
    <t xml:space="preserve">SALE-00318</t>
  </si>
  <si>
    <t xml:space="preserve">INV-82001</t>
  </si>
  <si>
    <t xml:space="preserve">SALE-00319</t>
  </si>
  <si>
    <t xml:space="preserve">INV-32775</t>
  </si>
  <si>
    <t xml:space="preserve">SALE-00320</t>
  </si>
  <si>
    <t xml:space="preserve">INV-52220</t>
  </si>
  <si>
    <t xml:space="preserve">SALE-00321</t>
  </si>
  <si>
    <t xml:space="preserve">INV-14290</t>
  </si>
  <si>
    <t xml:space="preserve">SALE-00322</t>
  </si>
  <si>
    <t xml:space="preserve">INV-76139</t>
  </si>
  <si>
    <t xml:space="preserve">SALE-00323</t>
  </si>
  <si>
    <t xml:space="preserve">INV-81289</t>
  </si>
  <si>
    <t xml:space="preserve">SALE-00324</t>
  </si>
  <si>
    <t xml:space="preserve">INV-39401</t>
  </si>
  <si>
    <t xml:space="preserve">SALE-00325</t>
  </si>
  <si>
    <t xml:space="preserve">INV-14247</t>
  </si>
  <si>
    <t xml:space="preserve">SALE-00326</t>
  </si>
  <si>
    <t xml:space="preserve">INV-89916</t>
  </si>
  <si>
    <t xml:space="preserve">SALE-00327</t>
  </si>
  <si>
    <t xml:space="preserve">INV-98014</t>
  </si>
  <si>
    <t xml:space="preserve">SALE-00328</t>
  </si>
  <si>
    <t xml:space="preserve">INV-77805</t>
  </si>
  <si>
    <t xml:space="preserve">SALE-00329</t>
  </si>
  <si>
    <t xml:space="preserve">INV-67212</t>
  </si>
  <si>
    <t xml:space="preserve">SALE-00330</t>
  </si>
  <si>
    <t xml:space="preserve">INV-55762</t>
  </si>
  <si>
    <t xml:space="preserve">SALE-00331</t>
  </si>
  <si>
    <t xml:space="preserve">INV-32530</t>
  </si>
  <si>
    <t xml:space="preserve">SALE-00332</t>
  </si>
  <si>
    <t xml:space="preserve">INV-92436</t>
  </si>
  <si>
    <t xml:space="preserve">SALE-00333</t>
  </si>
  <si>
    <t xml:space="preserve">INV-94158</t>
  </si>
  <si>
    <t xml:space="preserve">SALE-00334</t>
  </si>
  <si>
    <t xml:space="preserve">INV-23068</t>
  </si>
  <si>
    <t xml:space="preserve">SALE-00335</t>
  </si>
  <si>
    <t xml:space="preserve">INV-86794</t>
  </si>
  <si>
    <t xml:space="preserve">SALE-00336</t>
  </si>
  <si>
    <t xml:space="preserve">INV-58935</t>
  </si>
  <si>
    <t xml:space="preserve">SALE-00337</t>
  </si>
  <si>
    <t xml:space="preserve">INV-68901</t>
  </si>
  <si>
    <t xml:space="preserve">SALE-00338</t>
  </si>
  <si>
    <t xml:space="preserve">INV-95123</t>
  </si>
  <si>
    <t xml:space="preserve">SALE-00339</t>
  </si>
  <si>
    <t xml:space="preserve">INV-83697</t>
  </si>
  <si>
    <t xml:space="preserve">SALE-00340</t>
  </si>
  <si>
    <t xml:space="preserve">INV-26024</t>
  </si>
  <si>
    <t xml:space="preserve">SALE-00341</t>
  </si>
  <si>
    <t xml:space="preserve">INV-39766</t>
  </si>
  <si>
    <t xml:space="preserve">SALE-00342</t>
  </si>
  <si>
    <t xml:space="preserve">INV-35542</t>
  </si>
  <si>
    <t xml:space="preserve">SALE-00343</t>
  </si>
  <si>
    <t xml:space="preserve">INV-88581</t>
  </si>
  <si>
    <t xml:space="preserve">SALE-00344</t>
  </si>
  <si>
    <t xml:space="preserve">INV-61307</t>
  </si>
  <si>
    <t xml:space="preserve">SALE-00345</t>
  </si>
  <si>
    <t xml:space="preserve">INV-62373</t>
  </si>
  <si>
    <t xml:space="preserve">SALE-00346</t>
  </si>
  <si>
    <t xml:space="preserve">INV-39282</t>
  </si>
  <si>
    <t xml:space="preserve">SALE-00347</t>
  </si>
  <si>
    <t xml:space="preserve">INV-56742</t>
  </si>
  <si>
    <t xml:space="preserve">SALE-00348</t>
  </si>
  <si>
    <t xml:space="preserve">INV-79610</t>
  </si>
  <si>
    <t xml:space="preserve">SALE-00349</t>
  </si>
  <si>
    <t xml:space="preserve">INV-48422</t>
  </si>
  <si>
    <t xml:space="preserve">SALE-00350</t>
  </si>
  <si>
    <t xml:space="preserve">INV-65113</t>
  </si>
  <si>
    <t xml:space="preserve">SALE-00351</t>
  </si>
  <si>
    <t xml:space="preserve">INV-16560</t>
  </si>
  <si>
    <t xml:space="preserve">SALE-00352</t>
  </si>
  <si>
    <t xml:space="preserve">INV-76148</t>
  </si>
  <si>
    <t xml:space="preserve">SALE-00353</t>
  </si>
  <si>
    <t xml:space="preserve">INV-49358</t>
  </si>
  <si>
    <t xml:space="preserve">SALE-00354</t>
  </si>
  <si>
    <t xml:space="preserve">INV-40956</t>
  </si>
  <si>
    <t xml:space="preserve">SALE-00355</t>
  </si>
  <si>
    <t xml:space="preserve">INV-68458</t>
  </si>
  <si>
    <t xml:space="preserve">SALE-00356</t>
  </si>
  <si>
    <t xml:space="preserve">INV-23785</t>
  </si>
  <si>
    <t xml:space="preserve">SALE-00357</t>
  </si>
  <si>
    <t xml:space="preserve">INV-38850</t>
  </si>
  <si>
    <t xml:space="preserve">SALE-00358</t>
  </si>
  <si>
    <t xml:space="preserve">INV-42287</t>
  </si>
  <si>
    <t xml:space="preserve">SALE-00359</t>
  </si>
  <si>
    <t xml:space="preserve">INV-34591</t>
  </si>
  <si>
    <t xml:space="preserve">SALE-00360</t>
  </si>
  <si>
    <t xml:space="preserve">INV-73364</t>
  </si>
  <si>
    <t xml:space="preserve">SALE-00361</t>
  </si>
  <si>
    <t xml:space="preserve">INV-93381</t>
  </si>
  <si>
    <t xml:space="preserve">SALE-00362</t>
  </si>
  <si>
    <t xml:space="preserve">INV-87927</t>
  </si>
  <si>
    <t xml:space="preserve">SALE-00363</t>
  </si>
  <si>
    <t xml:space="preserve">INV-23870</t>
  </si>
  <si>
    <t xml:space="preserve">SALE-00364</t>
  </si>
  <si>
    <t xml:space="preserve">INV-81239</t>
  </si>
  <si>
    <t xml:space="preserve">SALE-00365</t>
  </si>
  <si>
    <t xml:space="preserve">INV-57906</t>
  </si>
  <si>
    <t xml:space="preserve">SALE-00366</t>
  </si>
  <si>
    <t xml:space="preserve">INV-97638</t>
  </si>
  <si>
    <t xml:space="preserve">SALE-00367</t>
  </si>
  <si>
    <t xml:space="preserve">INV-33867</t>
  </si>
  <si>
    <t xml:space="preserve">SALE-00368</t>
  </si>
  <si>
    <t xml:space="preserve">INV-37160</t>
  </si>
  <si>
    <t xml:space="preserve">SALE-00369</t>
  </si>
  <si>
    <t xml:space="preserve">INV-84301</t>
  </si>
  <si>
    <t xml:space="preserve">SALE-00370</t>
  </si>
  <si>
    <t xml:space="preserve">INV-24111</t>
  </si>
  <si>
    <t xml:space="preserve">SALE-00371</t>
  </si>
  <si>
    <t xml:space="preserve">INV-85136</t>
  </si>
  <si>
    <t xml:space="preserve">SALE-00372</t>
  </si>
  <si>
    <t xml:space="preserve">INV-22078</t>
  </si>
  <si>
    <t xml:space="preserve">SALE-00373</t>
  </si>
  <si>
    <t xml:space="preserve">INV-64306</t>
  </si>
  <si>
    <t xml:space="preserve">SALE-00374</t>
  </si>
  <si>
    <t xml:space="preserve">INV-98185</t>
  </si>
  <si>
    <t xml:space="preserve">SALE-00375</t>
  </si>
  <si>
    <t xml:space="preserve">INV-36748</t>
  </si>
  <si>
    <t xml:space="preserve">SALE-00376</t>
  </si>
  <si>
    <t xml:space="preserve">INV-44503</t>
  </si>
  <si>
    <t xml:space="preserve">SALE-00377</t>
  </si>
  <si>
    <t xml:space="preserve">INV-66999</t>
  </si>
  <si>
    <t xml:space="preserve">SALE-00378</t>
  </si>
  <si>
    <t xml:space="preserve">INV-52198</t>
  </si>
  <si>
    <t xml:space="preserve">SALE-00379</t>
  </si>
  <si>
    <t xml:space="preserve">INV-85123</t>
  </si>
  <si>
    <t xml:space="preserve">SALE-00380</t>
  </si>
  <si>
    <t xml:space="preserve">INV-21510</t>
  </si>
  <si>
    <t xml:space="preserve">SALE-00381</t>
  </si>
  <si>
    <t xml:space="preserve">INV-38490</t>
  </si>
  <si>
    <t xml:space="preserve">SALE-00382</t>
  </si>
  <si>
    <t xml:space="preserve">INV-71039</t>
  </si>
  <si>
    <t xml:space="preserve">SALE-00383</t>
  </si>
  <si>
    <t xml:space="preserve">INV-57328</t>
  </si>
  <si>
    <t xml:space="preserve">SALE-00384</t>
  </si>
  <si>
    <t xml:space="preserve">INV-46593</t>
  </si>
  <si>
    <t xml:space="preserve">SALE-00385</t>
  </si>
  <si>
    <t xml:space="preserve">INV-46438</t>
  </si>
  <si>
    <t xml:space="preserve">SALE-00386</t>
  </si>
  <si>
    <t xml:space="preserve">INV-81635</t>
  </si>
  <si>
    <t xml:space="preserve">SALE-00387</t>
  </si>
  <si>
    <t xml:space="preserve">INV-55110</t>
  </si>
  <si>
    <t xml:space="preserve">SALE-00388</t>
  </si>
  <si>
    <t xml:space="preserve">INV-26155</t>
  </si>
  <si>
    <t xml:space="preserve">SALE-00389</t>
  </si>
  <si>
    <t xml:space="preserve">INV-79268</t>
  </si>
  <si>
    <t xml:space="preserve">SALE-00390</t>
  </si>
  <si>
    <t xml:space="preserve">INV-41163</t>
  </si>
  <si>
    <t xml:space="preserve">SALE-00391</t>
  </si>
  <si>
    <t xml:space="preserve">INV-47870</t>
  </si>
  <si>
    <t xml:space="preserve">SALE-00392</t>
  </si>
  <si>
    <t xml:space="preserve">INV-38959</t>
  </si>
  <si>
    <t xml:space="preserve">SALE-00393</t>
  </si>
  <si>
    <t xml:space="preserve">INV-57560</t>
  </si>
  <si>
    <t xml:space="preserve">SALE-00394</t>
  </si>
  <si>
    <t xml:space="preserve">INV-37180</t>
  </si>
  <si>
    <t xml:space="preserve">SALE-00395</t>
  </si>
  <si>
    <t xml:space="preserve">INV-41691</t>
  </si>
  <si>
    <t xml:space="preserve">SALE-00396</t>
  </si>
  <si>
    <t xml:space="preserve">INV-86551</t>
  </si>
  <si>
    <t xml:space="preserve">SALE-00397</t>
  </si>
  <si>
    <t xml:space="preserve">INV-80451</t>
  </si>
  <si>
    <t xml:space="preserve">SALE-00398</t>
  </si>
  <si>
    <t xml:space="preserve">INV-97378</t>
  </si>
  <si>
    <t xml:space="preserve">SALE-00399</t>
  </si>
  <si>
    <t xml:space="preserve">INV-11457</t>
  </si>
  <si>
    <t xml:space="preserve">SALE-00400</t>
  </si>
  <si>
    <t xml:space="preserve">INV-24284</t>
  </si>
  <si>
    <t xml:space="preserve">SALE-00401</t>
  </si>
  <si>
    <t xml:space="preserve">INV-46442</t>
  </si>
  <si>
    <t xml:space="preserve">SALE-00402</t>
  </si>
  <si>
    <t xml:space="preserve">INV-71840</t>
  </si>
  <si>
    <t xml:space="preserve">SALE-00403</t>
  </si>
  <si>
    <t xml:space="preserve">INV-14323</t>
  </si>
  <si>
    <t xml:space="preserve">SALE-00404</t>
  </si>
  <si>
    <t xml:space="preserve">INV-74284</t>
  </si>
  <si>
    <t xml:space="preserve">SALE-00405</t>
  </si>
  <si>
    <t xml:space="preserve">INV-94870</t>
  </si>
  <si>
    <t xml:space="preserve">SALE-00406</t>
  </si>
  <si>
    <t xml:space="preserve">INV-86401</t>
  </si>
  <si>
    <t xml:space="preserve">SALE-00407</t>
  </si>
  <si>
    <t xml:space="preserve">INV-68842</t>
  </si>
  <si>
    <t xml:space="preserve">SALE-00408</t>
  </si>
  <si>
    <t xml:space="preserve">INV-68593</t>
  </si>
  <si>
    <t xml:space="preserve">SALE-00409</t>
  </si>
  <si>
    <t xml:space="preserve">INV-56738</t>
  </si>
  <si>
    <t xml:space="preserve">SALE-00410</t>
  </si>
  <si>
    <t xml:space="preserve">INV-82753</t>
  </si>
  <si>
    <t xml:space="preserve">SALE-00411</t>
  </si>
  <si>
    <t xml:space="preserve">INV-55514</t>
  </si>
  <si>
    <t xml:space="preserve">SALE-00412</t>
  </si>
  <si>
    <t xml:space="preserve">INV-83631</t>
  </si>
  <si>
    <t xml:space="preserve">SALE-00413</t>
  </si>
  <si>
    <t xml:space="preserve">INV-39561</t>
  </si>
  <si>
    <t xml:space="preserve">SALE-00414</t>
  </si>
  <si>
    <t xml:space="preserve">INV-21276</t>
  </si>
  <si>
    <t xml:space="preserve">SALE-00415</t>
  </si>
  <si>
    <t xml:space="preserve">INV-22545</t>
  </si>
  <si>
    <t xml:space="preserve">SALE-00416</t>
  </si>
  <si>
    <t xml:space="preserve">INV-14462</t>
  </si>
  <si>
    <t xml:space="preserve">SALE-00417</t>
  </si>
  <si>
    <t xml:space="preserve">INV-28680</t>
  </si>
  <si>
    <t xml:space="preserve">SALE-00418</t>
  </si>
  <si>
    <t xml:space="preserve">INV-48814</t>
  </si>
  <si>
    <t xml:space="preserve">SALE-00419</t>
  </si>
  <si>
    <t xml:space="preserve">INV-28972</t>
  </si>
  <si>
    <t xml:space="preserve">SALE-00420</t>
  </si>
  <si>
    <t xml:space="preserve">INV-30631</t>
  </si>
  <si>
    <t xml:space="preserve">SALE-00421</t>
  </si>
  <si>
    <t xml:space="preserve">INV-86079</t>
  </si>
  <si>
    <t xml:space="preserve">SALE-00422</t>
  </si>
  <si>
    <t xml:space="preserve">INV-67731</t>
  </si>
  <si>
    <t xml:space="preserve">SALE-00423</t>
  </si>
  <si>
    <t xml:space="preserve">INV-65763</t>
  </si>
  <si>
    <t xml:space="preserve">SALE-00424</t>
  </si>
  <si>
    <t xml:space="preserve">INV-99313</t>
  </si>
  <si>
    <t xml:space="preserve">SALE-00425</t>
  </si>
  <si>
    <t xml:space="preserve">INV-13297</t>
  </si>
  <si>
    <t xml:space="preserve">SALE-00426</t>
  </si>
  <si>
    <t xml:space="preserve">INV-22310</t>
  </si>
  <si>
    <t xml:space="preserve">SALE-00427</t>
  </si>
  <si>
    <t xml:space="preserve">INV-52037</t>
  </si>
  <si>
    <t xml:space="preserve">SALE-00428</t>
  </si>
  <si>
    <t xml:space="preserve">INV-14529</t>
  </si>
  <si>
    <t xml:space="preserve">SALE-00429</t>
  </si>
  <si>
    <t xml:space="preserve">INV-74754</t>
  </si>
  <si>
    <t xml:space="preserve">SALE-00430</t>
  </si>
  <si>
    <t xml:space="preserve">INV-92907</t>
  </si>
  <si>
    <t xml:space="preserve">SALE-00431</t>
  </si>
  <si>
    <t xml:space="preserve">INV-68303</t>
  </si>
  <si>
    <t xml:space="preserve">SALE-00432</t>
  </si>
  <si>
    <t xml:space="preserve">INV-80830</t>
  </si>
  <si>
    <t xml:space="preserve">SALE-00433</t>
  </si>
  <si>
    <t xml:space="preserve">INV-28863</t>
  </si>
  <si>
    <t xml:space="preserve">SALE-00434</t>
  </si>
  <si>
    <t xml:space="preserve">INV-83675</t>
  </si>
  <si>
    <t xml:space="preserve">SALE-00435</t>
  </si>
  <si>
    <t xml:space="preserve">INV-91628</t>
  </si>
  <si>
    <t xml:space="preserve">SALE-00436</t>
  </si>
  <si>
    <t xml:space="preserve">INV-78657</t>
  </si>
  <si>
    <t xml:space="preserve">SALE-00437</t>
  </si>
  <si>
    <t xml:space="preserve">INV-10249</t>
  </si>
  <si>
    <t xml:space="preserve">SALE-00438</t>
  </si>
  <si>
    <t xml:space="preserve">INV-94294</t>
  </si>
  <si>
    <t xml:space="preserve">SALE-00439</t>
  </si>
  <si>
    <t xml:space="preserve">INV-26063</t>
  </si>
  <si>
    <t xml:space="preserve">SALE-00440</t>
  </si>
  <si>
    <t xml:space="preserve">INV-96001</t>
  </si>
  <si>
    <t xml:space="preserve">SALE-00441</t>
  </si>
  <si>
    <t xml:space="preserve">INV-18555</t>
  </si>
  <si>
    <t xml:space="preserve">SALE-00442</t>
  </si>
  <si>
    <t xml:space="preserve">INV-22322</t>
  </si>
  <si>
    <t xml:space="preserve">SALE-00443</t>
  </si>
  <si>
    <t xml:space="preserve">INV-99468</t>
  </si>
  <si>
    <t xml:space="preserve">SALE-00444</t>
  </si>
  <si>
    <t xml:space="preserve">INV-86459</t>
  </si>
  <si>
    <t xml:space="preserve">SALE-00445</t>
  </si>
  <si>
    <t xml:space="preserve">INV-18426</t>
  </si>
  <si>
    <t xml:space="preserve">SALE-00446</t>
  </si>
  <si>
    <t xml:space="preserve">INV-76545</t>
  </si>
  <si>
    <t xml:space="preserve">SALE-00447</t>
  </si>
  <si>
    <t xml:space="preserve">INV-14562</t>
  </si>
  <si>
    <t xml:space="preserve">SALE-00448</t>
  </si>
  <si>
    <t xml:space="preserve">INV-38964</t>
  </si>
  <si>
    <t xml:space="preserve">SALE-00449</t>
  </si>
  <si>
    <t xml:space="preserve">INV-50112</t>
  </si>
  <si>
    <t xml:space="preserve">SALE-00450</t>
  </si>
  <si>
    <t xml:space="preserve">INV-75129</t>
  </si>
  <si>
    <t xml:space="preserve">SALE-00451</t>
  </si>
  <si>
    <t xml:space="preserve">INV-69995</t>
  </si>
  <si>
    <t xml:space="preserve">SALE-00452</t>
  </si>
  <si>
    <t xml:space="preserve">INV-61972</t>
  </si>
  <si>
    <t xml:space="preserve">SALE-00453</t>
  </si>
  <si>
    <t xml:space="preserve">INV-52660</t>
  </si>
  <si>
    <t xml:space="preserve">SALE-00454</t>
  </si>
  <si>
    <t xml:space="preserve">SALE-00455</t>
  </si>
  <si>
    <t xml:space="preserve">INV-43728</t>
  </si>
  <si>
    <t xml:space="preserve">SALE-00456</t>
  </si>
  <si>
    <t xml:space="preserve">INV-61807</t>
  </si>
  <si>
    <t xml:space="preserve">SALE-00457</t>
  </si>
  <si>
    <t xml:space="preserve">INV-55004</t>
  </si>
  <si>
    <t xml:space="preserve">SALE-00458</t>
  </si>
  <si>
    <t xml:space="preserve">INV-75556</t>
  </si>
  <si>
    <t xml:space="preserve">SALE-00459</t>
  </si>
  <si>
    <t xml:space="preserve">INV-40827</t>
  </si>
  <si>
    <t xml:space="preserve">SALE-00460</t>
  </si>
  <si>
    <t xml:space="preserve">INV-82609</t>
  </si>
  <si>
    <t xml:space="preserve">SALE-00461</t>
  </si>
  <si>
    <t xml:space="preserve">INV-71527</t>
  </si>
  <si>
    <t xml:space="preserve">SALE-00462</t>
  </si>
  <si>
    <t xml:space="preserve">INV-63071</t>
  </si>
  <si>
    <t xml:space="preserve">SALE-00463</t>
  </si>
  <si>
    <t xml:space="preserve">INV-57662</t>
  </si>
  <si>
    <t xml:space="preserve">SALE-00464</t>
  </si>
  <si>
    <t xml:space="preserve">INV-18738</t>
  </si>
  <si>
    <t xml:space="preserve">SALE-00465</t>
  </si>
  <si>
    <t xml:space="preserve">INV-37215</t>
  </si>
  <si>
    <t xml:space="preserve">SALE-00466</t>
  </si>
  <si>
    <t xml:space="preserve">INV-66176</t>
  </si>
  <si>
    <t xml:space="preserve">SALE-00467</t>
  </si>
  <si>
    <t xml:space="preserve">INV-75165</t>
  </si>
  <si>
    <t xml:space="preserve">SALE-00468</t>
  </si>
  <si>
    <t xml:space="preserve">INV-71471</t>
  </si>
  <si>
    <t xml:space="preserve">SALE-00469</t>
  </si>
  <si>
    <t xml:space="preserve">INV-56913</t>
  </si>
  <si>
    <t xml:space="preserve">SALE-00470</t>
  </si>
  <si>
    <t xml:space="preserve">INV-73489</t>
  </si>
  <si>
    <t xml:space="preserve">SALE-00471</t>
  </si>
  <si>
    <t xml:space="preserve">INV-72687</t>
  </si>
  <si>
    <t xml:space="preserve">SALE-00472</t>
  </si>
  <si>
    <t xml:space="preserve">INV-65870</t>
  </si>
  <si>
    <t xml:space="preserve">SALE-00473</t>
  </si>
  <si>
    <t xml:space="preserve">INV-68377</t>
  </si>
  <si>
    <t xml:space="preserve">SALE-00474</t>
  </si>
  <si>
    <t xml:space="preserve">INV-72038</t>
  </si>
  <si>
    <t xml:space="preserve">SALE-00475</t>
  </si>
  <si>
    <t xml:space="preserve">INV-23389</t>
  </si>
  <si>
    <t xml:space="preserve">SALE-00476</t>
  </si>
  <si>
    <t xml:space="preserve">INV-37422</t>
  </si>
  <si>
    <t xml:space="preserve">SALE-00477</t>
  </si>
  <si>
    <t xml:space="preserve">INV-50438</t>
  </si>
  <si>
    <t xml:space="preserve">SALE-00478</t>
  </si>
  <si>
    <t xml:space="preserve">INV-26015</t>
  </si>
  <si>
    <t xml:space="preserve">SALE-00479</t>
  </si>
  <si>
    <t xml:space="preserve">INV-13490</t>
  </si>
  <si>
    <t xml:space="preserve">SALE-00480</t>
  </si>
  <si>
    <t xml:space="preserve">INV-79237</t>
  </si>
  <si>
    <t xml:space="preserve">SALE-00481</t>
  </si>
  <si>
    <t xml:space="preserve">INV-14536</t>
  </si>
  <si>
    <t xml:space="preserve">SALE-00482</t>
  </si>
  <si>
    <t xml:space="preserve">INV-85115</t>
  </si>
  <si>
    <t xml:space="preserve">SALE-00483</t>
  </si>
  <si>
    <t xml:space="preserve">INV-77069</t>
  </si>
  <si>
    <t xml:space="preserve">SALE-00484</t>
  </si>
  <si>
    <t xml:space="preserve">INV-13614</t>
  </si>
  <si>
    <t xml:space="preserve">SALE-00485</t>
  </si>
  <si>
    <t xml:space="preserve">INV-64354</t>
  </si>
  <si>
    <t xml:space="preserve">SALE-00486</t>
  </si>
  <si>
    <t xml:space="preserve">INV-93716</t>
  </si>
  <si>
    <t xml:space="preserve">SALE-00487</t>
  </si>
  <si>
    <t xml:space="preserve">INV-94917</t>
  </si>
  <si>
    <t xml:space="preserve">SALE-00488</t>
  </si>
  <si>
    <t xml:space="preserve">INV-61948</t>
  </si>
  <si>
    <t xml:space="preserve">SALE-00489</t>
  </si>
  <si>
    <t xml:space="preserve">INV-49560</t>
  </si>
  <si>
    <t xml:space="preserve">SALE-00490</t>
  </si>
  <si>
    <t xml:space="preserve">INV-91152</t>
  </si>
  <si>
    <t xml:space="preserve">SALE-00491</t>
  </si>
  <si>
    <t xml:space="preserve">INV-50110</t>
  </si>
  <si>
    <t xml:space="preserve">SALE-00492</t>
  </si>
  <si>
    <t xml:space="preserve">INV-97624</t>
  </si>
  <si>
    <t xml:space="preserve">SALE-00493</t>
  </si>
  <si>
    <t xml:space="preserve">INV-48085</t>
  </si>
  <si>
    <t xml:space="preserve">SALE-00494</t>
  </si>
  <si>
    <t xml:space="preserve">INV-63927</t>
  </si>
  <si>
    <t xml:space="preserve">SALE-00495</t>
  </si>
  <si>
    <t xml:space="preserve">INV-16708</t>
  </si>
  <si>
    <t xml:space="preserve">SALE-00496</t>
  </si>
  <si>
    <t xml:space="preserve">INV-10399</t>
  </si>
  <si>
    <t xml:space="preserve">SALE-00497</t>
  </si>
  <si>
    <t xml:space="preserve">INV-72337</t>
  </si>
  <si>
    <t xml:space="preserve">SALE-00498</t>
  </si>
  <si>
    <t xml:space="preserve">INV-44363</t>
  </si>
  <si>
    <t xml:space="preserve">SALE-00499</t>
  </si>
  <si>
    <t xml:space="preserve">INV-18850</t>
  </si>
  <si>
    <t xml:space="preserve">SALE-00500</t>
  </si>
  <si>
    <t xml:space="preserve">INV-68494</t>
  </si>
  <si>
    <t xml:space="preserve">SALE-00501</t>
  </si>
  <si>
    <t xml:space="preserve">INV-22305</t>
  </si>
  <si>
    <t xml:space="preserve">SALE-00502</t>
  </si>
  <si>
    <t xml:space="preserve">INV-33600</t>
  </si>
  <si>
    <t xml:space="preserve">SALE-00503</t>
  </si>
  <si>
    <t xml:space="preserve">INV-55457</t>
  </si>
  <si>
    <t xml:space="preserve">SALE-00504</t>
  </si>
  <si>
    <t xml:space="preserve">INV-89334</t>
  </si>
  <si>
    <t xml:space="preserve">SALE-00505</t>
  </si>
  <si>
    <t xml:space="preserve">INV-28578</t>
  </si>
  <si>
    <t xml:space="preserve">SALE-00506</t>
  </si>
  <si>
    <t xml:space="preserve">INV-71865</t>
  </si>
  <si>
    <t xml:space="preserve">SALE-00507</t>
  </si>
  <si>
    <t xml:space="preserve">INV-13471</t>
  </si>
  <si>
    <t xml:space="preserve">SALE-00508</t>
  </si>
  <si>
    <t xml:space="preserve">INV-92046</t>
  </si>
  <si>
    <t xml:space="preserve">SALE-00509</t>
  </si>
  <si>
    <t xml:space="preserve">INV-39842</t>
  </si>
  <si>
    <t xml:space="preserve">SALE-00510</t>
  </si>
  <si>
    <t xml:space="preserve">INV-82674</t>
  </si>
  <si>
    <t xml:space="preserve">SALE-00511</t>
  </si>
  <si>
    <t xml:space="preserve">INV-97664</t>
  </si>
  <si>
    <t xml:space="preserve">SALE-00512</t>
  </si>
  <si>
    <t xml:space="preserve">INV-71917</t>
  </si>
  <si>
    <t xml:space="preserve">SALE-00513</t>
  </si>
  <si>
    <t xml:space="preserve">INV-78890</t>
  </si>
  <si>
    <t xml:space="preserve">SALE-00514</t>
  </si>
  <si>
    <t xml:space="preserve">INV-92264</t>
  </si>
  <si>
    <t xml:space="preserve">SALE-00515</t>
  </si>
  <si>
    <t xml:space="preserve">INV-52382</t>
  </si>
  <si>
    <t xml:space="preserve">SALE-00516</t>
  </si>
  <si>
    <t xml:space="preserve">INV-41755</t>
  </si>
  <si>
    <t xml:space="preserve">SALE-00517</t>
  </si>
  <si>
    <t xml:space="preserve">INV-83566</t>
  </si>
  <si>
    <t xml:space="preserve">SALE-00518</t>
  </si>
  <si>
    <t xml:space="preserve">INV-48415</t>
  </si>
  <si>
    <t xml:space="preserve">SALE-00519</t>
  </si>
  <si>
    <t xml:space="preserve">INV-54374</t>
  </si>
  <si>
    <t xml:space="preserve">SALE-00520</t>
  </si>
  <si>
    <t xml:space="preserve">INV-53352</t>
  </si>
  <si>
    <t xml:space="preserve">SALE-00521</t>
  </si>
  <si>
    <t xml:space="preserve">INV-36970</t>
  </si>
  <si>
    <t xml:space="preserve">SALE-00522</t>
  </si>
  <si>
    <t xml:space="preserve">INV-12134</t>
  </si>
  <si>
    <t xml:space="preserve">SALE-00523</t>
  </si>
  <si>
    <t xml:space="preserve">INV-48513</t>
  </si>
  <si>
    <t xml:space="preserve">SALE-00524</t>
  </si>
  <si>
    <t xml:space="preserve">INV-39185</t>
  </si>
  <si>
    <t xml:space="preserve">SALE-00525</t>
  </si>
  <si>
    <t xml:space="preserve">INV-49178</t>
  </si>
  <si>
    <t xml:space="preserve">SALE-00526</t>
  </si>
  <si>
    <t xml:space="preserve">INV-92001</t>
  </si>
  <si>
    <t xml:space="preserve">SALE-00527</t>
  </si>
  <si>
    <t xml:space="preserve">INV-19854</t>
  </si>
  <si>
    <t xml:space="preserve">SALE-00528</t>
  </si>
  <si>
    <t xml:space="preserve">INV-74885</t>
  </si>
  <si>
    <t xml:space="preserve">SALE-00529</t>
  </si>
  <si>
    <t xml:space="preserve">INV-89896</t>
  </si>
  <si>
    <t xml:space="preserve">SALE-00530</t>
  </si>
  <si>
    <t xml:space="preserve">INV-54584</t>
  </si>
  <si>
    <t xml:space="preserve">SALE-00531</t>
  </si>
  <si>
    <t xml:space="preserve">INV-83192</t>
  </si>
  <si>
    <t xml:space="preserve">SALE-00532</t>
  </si>
  <si>
    <t xml:space="preserve">INV-30975</t>
  </si>
  <si>
    <t xml:space="preserve">SALE-00533</t>
  </si>
  <si>
    <t xml:space="preserve">INV-51973</t>
  </si>
  <si>
    <t xml:space="preserve">SALE-00534</t>
  </si>
  <si>
    <t xml:space="preserve">INV-28939</t>
  </si>
  <si>
    <t xml:space="preserve">SALE-00535</t>
  </si>
  <si>
    <t xml:space="preserve">INV-48240</t>
  </si>
  <si>
    <t xml:space="preserve">SALE-00536</t>
  </si>
  <si>
    <t xml:space="preserve">INV-87234</t>
  </si>
  <si>
    <t xml:space="preserve">SALE-00537</t>
  </si>
  <si>
    <t xml:space="preserve">INV-65419</t>
  </si>
  <si>
    <t xml:space="preserve">SALE-00538</t>
  </si>
  <si>
    <t xml:space="preserve">INV-43244</t>
  </si>
  <si>
    <t xml:space="preserve">SALE-00539</t>
  </si>
  <si>
    <t xml:space="preserve">INV-66404</t>
  </si>
  <si>
    <t xml:space="preserve">SALE-00540</t>
  </si>
  <si>
    <t xml:space="preserve">INV-95707</t>
  </si>
  <si>
    <t xml:space="preserve">SALE-00541</t>
  </si>
  <si>
    <t xml:space="preserve">INV-66551</t>
  </si>
  <si>
    <t xml:space="preserve">SALE-00542</t>
  </si>
  <si>
    <t xml:space="preserve">INV-62282</t>
  </si>
  <si>
    <t xml:space="preserve">SALE-00543</t>
  </si>
  <si>
    <t xml:space="preserve">INV-44594</t>
  </si>
  <si>
    <t xml:space="preserve">SALE-00544</t>
  </si>
  <si>
    <t xml:space="preserve">SALE-00545</t>
  </si>
  <si>
    <t xml:space="preserve">INV-69286</t>
  </si>
  <si>
    <t xml:space="preserve">SALE-00546</t>
  </si>
  <si>
    <t xml:space="preserve">INV-30132</t>
  </si>
  <si>
    <t xml:space="preserve">SALE-00547</t>
  </si>
  <si>
    <t xml:space="preserve">INV-39186</t>
  </si>
  <si>
    <t xml:space="preserve">SALE-00548</t>
  </si>
  <si>
    <t xml:space="preserve">INV-71205</t>
  </si>
  <si>
    <t xml:space="preserve">SALE-00549</t>
  </si>
  <si>
    <t xml:space="preserve">INV-58002</t>
  </si>
  <si>
    <t xml:space="preserve">SALE-00550</t>
  </si>
  <si>
    <t xml:space="preserve">INV-56367</t>
  </si>
  <si>
    <t xml:space="preserve">SALE-00551</t>
  </si>
  <si>
    <t xml:space="preserve">INV-41639</t>
  </si>
  <si>
    <t xml:space="preserve">SALE-00552</t>
  </si>
  <si>
    <t xml:space="preserve">INV-78263</t>
  </si>
  <si>
    <t xml:space="preserve">SALE-00553</t>
  </si>
  <si>
    <t xml:space="preserve">INV-50360</t>
  </si>
  <si>
    <t xml:space="preserve">SALE-00554</t>
  </si>
  <si>
    <t xml:space="preserve">INV-65259</t>
  </si>
  <si>
    <t xml:space="preserve">SALE-00555</t>
  </si>
  <si>
    <t xml:space="preserve">INV-96167</t>
  </si>
  <si>
    <t xml:space="preserve">SALE-00556</t>
  </si>
  <si>
    <t xml:space="preserve">INV-18565</t>
  </si>
  <si>
    <t xml:space="preserve">SALE-00557</t>
  </si>
  <si>
    <t xml:space="preserve">INV-70416</t>
  </si>
  <si>
    <t xml:space="preserve">SALE-00558</t>
  </si>
  <si>
    <t xml:space="preserve">INV-96987</t>
  </si>
  <si>
    <t xml:space="preserve">SALE-00559</t>
  </si>
  <si>
    <t xml:space="preserve">INV-50019</t>
  </si>
  <si>
    <t xml:space="preserve">SALE-00560</t>
  </si>
  <si>
    <t xml:space="preserve">INV-85012</t>
  </si>
  <si>
    <t xml:space="preserve">SALE-00561</t>
  </si>
  <si>
    <t xml:space="preserve">INV-14932</t>
  </si>
  <si>
    <t xml:space="preserve">SALE-00562</t>
  </si>
  <si>
    <t xml:space="preserve">INV-51165</t>
  </si>
  <si>
    <t xml:space="preserve">SALE-00563</t>
  </si>
  <si>
    <t xml:space="preserve">INV-12071</t>
  </si>
  <si>
    <t xml:space="preserve">SALE-00564</t>
  </si>
  <si>
    <t xml:space="preserve">INV-75898</t>
  </si>
  <si>
    <t xml:space="preserve">SALE-00565</t>
  </si>
  <si>
    <t xml:space="preserve">INV-46877</t>
  </si>
  <si>
    <t xml:space="preserve">SALE-00566</t>
  </si>
  <si>
    <t xml:space="preserve">INV-16537</t>
  </si>
  <si>
    <t xml:space="preserve">SALE-00567</t>
  </si>
  <si>
    <t xml:space="preserve">INV-78847</t>
  </si>
  <si>
    <t xml:space="preserve">SALE-00568</t>
  </si>
  <si>
    <t xml:space="preserve">INV-35880</t>
  </si>
  <si>
    <t xml:space="preserve">SALE-00569</t>
  </si>
  <si>
    <t xml:space="preserve">INV-92837</t>
  </si>
  <si>
    <t xml:space="preserve">SALE-00570</t>
  </si>
  <si>
    <t xml:space="preserve">INV-50998</t>
  </si>
  <si>
    <t xml:space="preserve">SALE-00571</t>
  </si>
  <si>
    <t xml:space="preserve">INV-50232</t>
  </si>
  <si>
    <t xml:space="preserve">SALE-00572</t>
  </si>
  <si>
    <t xml:space="preserve">INV-58259</t>
  </si>
  <si>
    <t xml:space="preserve">SALE-00573</t>
  </si>
  <si>
    <t xml:space="preserve">INV-92526</t>
  </si>
  <si>
    <t xml:space="preserve">SALE-00574</t>
  </si>
  <si>
    <t xml:space="preserve">INV-38143</t>
  </si>
  <si>
    <t xml:space="preserve">SALE-00575</t>
  </si>
  <si>
    <t xml:space="preserve">INV-56682</t>
  </si>
  <si>
    <t xml:space="preserve">SALE-00576</t>
  </si>
  <si>
    <t xml:space="preserve">INV-30848</t>
  </si>
  <si>
    <t xml:space="preserve">SALE-00577</t>
  </si>
  <si>
    <t xml:space="preserve">INV-83201</t>
  </si>
  <si>
    <t xml:space="preserve">SALE-00578</t>
  </si>
  <si>
    <t xml:space="preserve">INV-44294</t>
  </si>
  <si>
    <t xml:space="preserve">SALE-00579</t>
  </si>
  <si>
    <t xml:space="preserve">INV-43900</t>
  </si>
  <si>
    <t xml:space="preserve">SALE-00580</t>
  </si>
  <si>
    <t xml:space="preserve">INV-98503</t>
  </si>
  <si>
    <t xml:space="preserve">SALE-00581</t>
  </si>
  <si>
    <t xml:space="preserve">INV-32343</t>
  </si>
  <si>
    <t xml:space="preserve">SALE-00582</t>
  </si>
  <si>
    <t xml:space="preserve">INV-48837</t>
  </si>
  <si>
    <t xml:space="preserve">SALE-00583</t>
  </si>
  <si>
    <t xml:space="preserve">INV-48280</t>
  </si>
  <si>
    <t xml:space="preserve">SALE-00584</t>
  </si>
  <si>
    <t xml:space="preserve">INV-33986</t>
  </si>
  <si>
    <t xml:space="preserve">SALE-00585</t>
  </si>
  <si>
    <t xml:space="preserve">INV-79920</t>
  </si>
  <si>
    <t xml:space="preserve">SALE-00586</t>
  </si>
  <si>
    <t xml:space="preserve">INV-25160</t>
  </si>
  <si>
    <t xml:space="preserve">SALE-00587</t>
  </si>
  <si>
    <t xml:space="preserve">INV-75360</t>
  </si>
  <si>
    <t xml:space="preserve">SALE-00588</t>
  </si>
  <si>
    <t xml:space="preserve">INV-60101</t>
  </si>
  <si>
    <t xml:space="preserve">SALE-00589</t>
  </si>
  <si>
    <t xml:space="preserve">INV-67599</t>
  </si>
  <si>
    <t xml:space="preserve">SALE-00590</t>
  </si>
  <si>
    <t xml:space="preserve">INV-23241</t>
  </si>
  <si>
    <t xml:space="preserve">SALE-00591</t>
  </si>
  <si>
    <t xml:space="preserve">INV-93613</t>
  </si>
  <si>
    <t xml:space="preserve">SALE-00592</t>
  </si>
  <si>
    <t xml:space="preserve">INV-74628</t>
  </si>
  <si>
    <t xml:space="preserve">SALE-00593</t>
  </si>
  <si>
    <t xml:space="preserve">INV-57716</t>
  </si>
  <si>
    <t xml:space="preserve">SALE-00594</t>
  </si>
  <si>
    <t xml:space="preserve">INV-63690</t>
  </si>
  <si>
    <t xml:space="preserve">SALE-00595</t>
  </si>
  <si>
    <t xml:space="preserve">INV-51381</t>
  </si>
  <si>
    <t xml:space="preserve">SALE-00596</t>
  </si>
  <si>
    <t xml:space="preserve">INV-65092</t>
  </si>
  <si>
    <t xml:space="preserve">SALE-00597</t>
  </si>
  <si>
    <t xml:space="preserve">INV-89085</t>
  </si>
  <si>
    <t xml:space="preserve">SALE-00598</t>
  </si>
  <si>
    <t xml:space="preserve">INV-13456</t>
  </si>
  <si>
    <t xml:space="preserve">SALE-00599</t>
  </si>
  <si>
    <t xml:space="preserve">INV-35262</t>
  </si>
  <si>
    <t xml:space="preserve">SALE-00600</t>
  </si>
  <si>
    <t xml:space="preserve">SALE-00601</t>
  </si>
  <si>
    <t xml:space="preserve">INV-85916</t>
  </si>
  <si>
    <t xml:space="preserve">SALE-00602</t>
  </si>
  <si>
    <t xml:space="preserve">INV-17625</t>
  </si>
  <si>
    <t xml:space="preserve">SALE-00603</t>
  </si>
  <si>
    <t xml:space="preserve">INV-76760</t>
  </si>
  <si>
    <t xml:space="preserve">SALE-00604</t>
  </si>
  <si>
    <t xml:space="preserve">SALE-00605</t>
  </si>
  <si>
    <t xml:space="preserve">INV-56165</t>
  </si>
  <si>
    <t xml:space="preserve">SALE-00606</t>
  </si>
  <si>
    <t xml:space="preserve">INV-31804</t>
  </si>
  <si>
    <t xml:space="preserve">SALE-00607</t>
  </si>
  <si>
    <t xml:space="preserve">INV-94133</t>
  </si>
  <si>
    <t xml:space="preserve">SALE-00608</t>
  </si>
  <si>
    <t xml:space="preserve">INV-72165</t>
  </si>
  <si>
    <t xml:space="preserve">SALE-00609</t>
  </si>
  <si>
    <t xml:space="preserve">INV-26731</t>
  </si>
  <si>
    <t xml:space="preserve">SALE-00610</t>
  </si>
  <si>
    <t xml:space="preserve">INV-81397</t>
  </si>
  <si>
    <t xml:space="preserve">SALE-00611</t>
  </si>
  <si>
    <t xml:space="preserve">INV-15185</t>
  </si>
  <si>
    <t xml:space="preserve">SALE-00612</t>
  </si>
  <si>
    <t xml:space="preserve">INV-77032</t>
  </si>
  <si>
    <t xml:space="preserve">SALE-00613</t>
  </si>
  <si>
    <t xml:space="preserve">INV-51229</t>
  </si>
  <si>
    <t xml:space="preserve">SALE-00614</t>
  </si>
  <si>
    <t xml:space="preserve">INV-64843</t>
  </si>
  <si>
    <t xml:space="preserve">SALE-00615</t>
  </si>
  <si>
    <t xml:space="preserve">INV-41962</t>
  </si>
  <si>
    <t xml:space="preserve">SALE-00616</t>
  </si>
  <si>
    <t xml:space="preserve">INV-35495</t>
  </si>
  <si>
    <t xml:space="preserve">SALE-00617</t>
  </si>
  <si>
    <t xml:space="preserve">INV-51455</t>
  </si>
  <si>
    <t xml:space="preserve">SALE-00618</t>
  </si>
  <si>
    <t xml:space="preserve">INV-21429</t>
  </si>
  <si>
    <t xml:space="preserve">SALE-00619</t>
  </si>
  <si>
    <t xml:space="preserve">INV-64938</t>
  </si>
  <si>
    <t xml:space="preserve">SALE-00620</t>
  </si>
  <si>
    <t xml:space="preserve">INV-86666</t>
  </si>
  <si>
    <t xml:space="preserve">SALE-00621</t>
  </si>
  <si>
    <t xml:space="preserve">INV-74140</t>
  </si>
  <si>
    <t xml:space="preserve">SALE-00622</t>
  </si>
  <si>
    <t xml:space="preserve">INV-82488</t>
  </si>
  <si>
    <t xml:space="preserve">SALE-00623</t>
  </si>
  <si>
    <t xml:space="preserve">INV-26590</t>
  </si>
  <si>
    <t xml:space="preserve">SALE-00624</t>
  </si>
  <si>
    <t xml:space="preserve">INV-72988</t>
  </si>
  <si>
    <t xml:space="preserve">SALE-00625</t>
  </si>
  <si>
    <t xml:space="preserve">INV-95876</t>
  </si>
  <si>
    <t xml:space="preserve">SALE-00626</t>
  </si>
  <si>
    <t xml:space="preserve">INV-62176</t>
  </si>
  <si>
    <t xml:space="preserve">SALE-00627</t>
  </si>
  <si>
    <t xml:space="preserve">INV-30767</t>
  </si>
  <si>
    <t xml:space="preserve">SALE-00628</t>
  </si>
  <si>
    <t xml:space="preserve">INV-39737</t>
  </si>
  <si>
    <t xml:space="preserve">SALE-00629</t>
  </si>
  <si>
    <t xml:space="preserve">INV-64020</t>
  </si>
  <si>
    <t xml:space="preserve">SALE-00630</t>
  </si>
  <si>
    <t xml:space="preserve">INV-24998</t>
  </si>
  <si>
    <t xml:space="preserve">SALE-00631</t>
  </si>
  <si>
    <t xml:space="preserve">INV-70276</t>
  </si>
  <si>
    <t xml:space="preserve">SALE-00632</t>
  </si>
  <si>
    <t xml:space="preserve">INV-95008</t>
  </si>
  <si>
    <t xml:space="preserve">SALE-00633</t>
  </si>
  <si>
    <t xml:space="preserve">INV-55482</t>
  </si>
  <si>
    <t xml:space="preserve">SALE-00634</t>
  </si>
  <si>
    <t xml:space="preserve">INV-23965</t>
  </si>
  <si>
    <t xml:space="preserve">SALE-00635</t>
  </si>
  <si>
    <t xml:space="preserve">INV-90832</t>
  </si>
  <si>
    <t xml:space="preserve">SALE-00636</t>
  </si>
  <si>
    <t xml:space="preserve">INV-22459</t>
  </si>
  <si>
    <t xml:space="preserve">SALE-00637</t>
  </si>
  <si>
    <t xml:space="preserve">INV-98279</t>
  </si>
  <si>
    <t xml:space="preserve">SALE-00638</t>
  </si>
  <si>
    <t xml:space="preserve">INV-91381</t>
  </si>
  <si>
    <t xml:space="preserve">SALE-00639</t>
  </si>
  <si>
    <t xml:space="preserve">INV-29782</t>
  </si>
  <si>
    <t xml:space="preserve">SALE-00640</t>
  </si>
  <si>
    <t xml:space="preserve">INV-42185</t>
  </si>
  <si>
    <t xml:space="preserve">SALE-00641</t>
  </si>
  <si>
    <t xml:space="preserve">INV-59337</t>
  </si>
  <si>
    <t xml:space="preserve">SALE-00642</t>
  </si>
  <si>
    <t xml:space="preserve">INV-64386</t>
  </si>
  <si>
    <t xml:space="preserve">SALE-00643</t>
  </si>
  <si>
    <t xml:space="preserve">INV-79412</t>
  </si>
  <si>
    <t xml:space="preserve">SALE-00644</t>
  </si>
  <si>
    <t xml:space="preserve">INV-66845</t>
  </si>
  <si>
    <t xml:space="preserve">SALE-00645</t>
  </si>
  <si>
    <t xml:space="preserve">INV-31569</t>
  </si>
  <si>
    <t xml:space="preserve">SALE-00646</t>
  </si>
  <si>
    <t xml:space="preserve">INV-35133</t>
  </si>
  <si>
    <t xml:space="preserve">SALE-00647</t>
  </si>
  <si>
    <t xml:space="preserve">INV-15182</t>
  </si>
  <si>
    <t xml:space="preserve">SALE-00648</t>
  </si>
  <si>
    <t xml:space="preserve">INV-89152</t>
  </si>
  <si>
    <t xml:space="preserve">SALE-00649</t>
  </si>
  <si>
    <t xml:space="preserve">INV-90727</t>
  </si>
  <si>
    <t xml:space="preserve">SALE-00650</t>
  </si>
  <si>
    <t xml:space="preserve">INV-64986</t>
  </si>
  <si>
    <t xml:space="preserve">SALE-00651</t>
  </si>
  <si>
    <t xml:space="preserve">INV-16870</t>
  </si>
  <si>
    <t xml:space="preserve">SALE-00652</t>
  </si>
  <si>
    <t xml:space="preserve">INV-15427</t>
  </si>
  <si>
    <t xml:space="preserve">SALE-00653</t>
  </si>
  <si>
    <t xml:space="preserve">INV-21244</t>
  </si>
  <si>
    <t xml:space="preserve">SALE-00654</t>
  </si>
  <si>
    <t xml:space="preserve">INV-73619</t>
  </si>
  <si>
    <t xml:space="preserve">SALE-00655</t>
  </si>
  <si>
    <t xml:space="preserve">INV-51741</t>
  </si>
  <si>
    <t xml:space="preserve">SALE-00656</t>
  </si>
  <si>
    <t xml:space="preserve">INV-23381</t>
  </si>
  <si>
    <t xml:space="preserve">SALE-00657</t>
  </si>
  <si>
    <t xml:space="preserve">INV-67277</t>
  </si>
  <si>
    <t xml:space="preserve">SALE-00658</t>
  </si>
  <si>
    <t xml:space="preserve">INV-58699</t>
  </si>
  <si>
    <t xml:space="preserve">SALE-00659</t>
  </si>
  <si>
    <t xml:space="preserve">INV-71726</t>
  </si>
  <si>
    <t xml:space="preserve">SALE-00660</t>
  </si>
  <si>
    <t xml:space="preserve">INV-40060</t>
  </si>
  <si>
    <t xml:space="preserve">SALE-00661</t>
  </si>
  <si>
    <t xml:space="preserve">INV-70811</t>
  </si>
  <si>
    <t xml:space="preserve">SALE-00662</t>
  </si>
  <si>
    <t xml:space="preserve">INV-65123</t>
  </si>
  <si>
    <t xml:space="preserve">SALE-00663</t>
  </si>
  <si>
    <t xml:space="preserve">INV-53001</t>
  </si>
  <si>
    <t xml:space="preserve">SALE-00664</t>
  </si>
  <si>
    <t xml:space="preserve">INV-92706</t>
  </si>
  <si>
    <t xml:space="preserve">SALE-00665</t>
  </si>
  <si>
    <t xml:space="preserve">INV-26313</t>
  </si>
  <si>
    <t xml:space="preserve">SALE-00666</t>
  </si>
  <si>
    <t xml:space="preserve">INV-74137</t>
  </si>
  <si>
    <t xml:space="preserve">SALE-00667</t>
  </si>
  <si>
    <t xml:space="preserve">INV-84087</t>
  </si>
  <si>
    <t xml:space="preserve">SALE-00668</t>
  </si>
  <si>
    <t xml:space="preserve">INV-71500</t>
  </si>
  <si>
    <t xml:space="preserve">SALE-00669</t>
  </si>
  <si>
    <t xml:space="preserve">INV-73878</t>
  </si>
  <si>
    <t xml:space="preserve">SALE-00670</t>
  </si>
  <si>
    <t xml:space="preserve">INV-50003</t>
  </si>
  <si>
    <t xml:space="preserve">SALE-00671</t>
  </si>
  <si>
    <t xml:space="preserve">INV-85271</t>
  </si>
  <si>
    <t xml:space="preserve">SALE-00672</t>
  </si>
  <si>
    <t xml:space="preserve">INV-41918</t>
  </si>
  <si>
    <t xml:space="preserve">SALE-00673</t>
  </si>
  <si>
    <t xml:space="preserve">INV-15338</t>
  </si>
  <si>
    <t xml:space="preserve">SALE-00674</t>
  </si>
  <si>
    <t xml:space="preserve">INV-26181</t>
  </si>
  <si>
    <t xml:space="preserve">SALE-00675</t>
  </si>
  <si>
    <t xml:space="preserve">INV-44377</t>
  </si>
  <si>
    <t xml:space="preserve">SALE-00676</t>
  </si>
  <si>
    <t xml:space="preserve">INV-18900</t>
  </si>
  <si>
    <t xml:space="preserve">SALE-00677</t>
  </si>
  <si>
    <t xml:space="preserve">INV-58602</t>
  </si>
  <si>
    <t xml:space="preserve">SALE-00678</t>
  </si>
  <si>
    <t xml:space="preserve">INV-72005</t>
  </si>
  <si>
    <t xml:space="preserve">SALE-00679</t>
  </si>
  <si>
    <t xml:space="preserve">INV-52783</t>
  </si>
  <si>
    <t xml:space="preserve">SALE-00680</t>
  </si>
  <si>
    <t xml:space="preserve">INV-85535</t>
  </si>
  <si>
    <t xml:space="preserve">SALE-00681</t>
  </si>
  <si>
    <t xml:space="preserve">INV-79239</t>
  </si>
  <si>
    <t xml:space="preserve">SALE-00682</t>
  </si>
  <si>
    <t xml:space="preserve">INV-43831</t>
  </si>
  <si>
    <t xml:space="preserve">SALE-00683</t>
  </si>
  <si>
    <t xml:space="preserve">INV-18676</t>
  </si>
  <si>
    <t xml:space="preserve">SALE-00684</t>
  </si>
  <si>
    <t xml:space="preserve">INV-23249</t>
  </si>
  <si>
    <t xml:space="preserve">SALE-00685</t>
  </si>
  <si>
    <t xml:space="preserve">INV-24318</t>
  </si>
  <si>
    <t xml:space="preserve">SALE-00686</t>
  </si>
  <si>
    <t xml:space="preserve">INV-49794</t>
  </si>
  <si>
    <t xml:space="preserve">SALE-00687</t>
  </si>
  <si>
    <t xml:space="preserve">INV-60126</t>
  </si>
  <si>
    <t xml:space="preserve">SALE-00688</t>
  </si>
  <si>
    <t xml:space="preserve">INV-47917</t>
  </si>
  <si>
    <t xml:space="preserve">SALE-00689</t>
  </si>
  <si>
    <t xml:space="preserve">INV-64808</t>
  </si>
  <si>
    <t xml:space="preserve">SALE-00690</t>
  </si>
  <si>
    <t xml:space="preserve">INV-40683</t>
  </si>
  <si>
    <t xml:space="preserve">SALE-00691</t>
  </si>
  <si>
    <t xml:space="preserve">INV-95385</t>
  </si>
  <si>
    <t xml:space="preserve">SALE-00692</t>
  </si>
  <si>
    <t xml:space="preserve">INV-24866</t>
  </si>
  <si>
    <t xml:space="preserve">SALE-00693</t>
  </si>
  <si>
    <t xml:space="preserve">INV-32401</t>
  </si>
  <si>
    <t xml:space="preserve">SALE-00694</t>
  </si>
  <si>
    <t xml:space="preserve">INV-30842</t>
  </si>
  <si>
    <t xml:space="preserve">SALE-00695</t>
  </si>
  <si>
    <t xml:space="preserve">INV-73497</t>
  </si>
  <si>
    <t xml:space="preserve">SALE-00696</t>
  </si>
  <si>
    <t xml:space="preserve">INV-96189</t>
  </si>
  <si>
    <t xml:space="preserve">SALE-00697</t>
  </si>
  <si>
    <t xml:space="preserve">INV-14813</t>
  </si>
  <si>
    <t xml:space="preserve">SALE-00698</t>
  </si>
  <si>
    <t xml:space="preserve">INV-53820</t>
  </si>
  <si>
    <t xml:space="preserve">SALE-00699</t>
  </si>
  <si>
    <t xml:space="preserve">INV-73854</t>
  </si>
  <si>
    <t xml:space="preserve">SALE-00700</t>
  </si>
  <si>
    <t xml:space="preserve">INV-19455</t>
  </si>
  <si>
    <t xml:space="preserve">SALE-00701</t>
  </si>
  <si>
    <t xml:space="preserve">INV-55256</t>
  </si>
  <si>
    <t xml:space="preserve">SALE-00702</t>
  </si>
  <si>
    <t xml:space="preserve">INV-55456</t>
  </si>
  <si>
    <t xml:space="preserve">SALE-00703</t>
  </si>
  <si>
    <t xml:space="preserve">INV-45845</t>
  </si>
  <si>
    <t xml:space="preserve">SALE-00704</t>
  </si>
  <si>
    <t xml:space="preserve">INV-41385</t>
  </si>
  <si>
    <t xml:space="preserve">SALE-00705</t>
  </si>
  <si>
    <t xml:space="preserve">INV-77894</t>
  </si>
  <si>
    <t xml:space="preserve">SALE-00706</t>
  </si>
  <si>
    <t xml:space="preserve">INV-94927</t>
  </si>
  <si>
    <t xml:space="preserve">SALE-00707</t>
  </si>
  <si>
    <t xml:space="preserve">INV-85228</t>
  </si>
  <si>
    <t xml:space="preserve">SALE-00708</t>
  </si>
  <si>
    <t xml:space="preserve">INV-39751</t>
  </si>
  <si>
    <t xml:space="preserve">SALE-00709</t>
  </si>
  <si>
    <t xml:space="preserve">INV-33025</t>
  </si>
  <si>
    <t xml:space="preserve">SALE-00710</t>
  </si>
  <si>
    <t xml:space="preserve">INV-65640</t>
  </si>
  <si>
    <t xml:space="preserve">SALE-00711</t>
  </si>
  <si>
    <t xml:space="preserve">INV-76496</t>
  </si>
  <si>
    <t xml:space="preserve">SALE-00712</t>
  </si>
  <si>
    <t xml:space="preserve">INV-16829</t>
  </si>
  <si>
    <t xml:space="preserve">SALE-00713</t>
  </si>
  <si>
    <t xml:space="preserve">INV-82370</t>
  </si>
  <si>
    <t xml:space="preserve">SALE-00714</t>
  </si>
  <si>
    <t xml:space="preserve">INV-26281</t>
  </si>
  <si>
    <t xml:space="preserve">SALE-00715</t>
  </si>
  <si>
    <t xml:space="preserve">INV-21689</t>
  </si>
  <si>
    <t xml:space="preserve">SALE-00716</t>
  </si>
  <si>
    <t xml:space="preserve">INV-98134</t>
  </si>
  <si>
    <t xml:space="preserve">SALE-00717</t>
  </si>
  <si>
    <t xml:space="preserve">INV-54288</t>
  </si>
  <si>
    <t xml:space="preserve">SALE-00718</t>
  </si>
  <si>
    <t xml:space="preserve">INV-77117</t>
  </si>
  <si>
    <t xml:space="preserve">SALE-00719</t>
  </si>
  <si>
    <t xml:space="preserve">INV-69557</t>
  </si>
  <si>
    <t xml:space="preserve">SALE-00720</t>
  </si>
  <si>
    <t xml:space="preserve">INV-60148</t>
  </si>
  <si>
    <t xml:space="preserve">SALE-00721</t>
  </si>
  <si>
    <t xml:space="preserve">INV-86506</t>
  </si>
  <si>
    <t xml:space="preserve">SALE-00722</t>
  </si>
  <si>
    <t xml:space="preserve">INV-11133</t>
  </si>
  <si>
    <t xml:space="preserve">SALE-00723</t>
  </si>
  <si>
    <t xml:space="preserve">INV-92576</t>
  </si>
  <si>
    <t xml:space="preserve">SALE-00724</t>
  </si>
  <si>
    <t xml:space="preserve">INV-32158</t>
  </si>
  <si>
    <t xml:space="preserve">SALE-00725</t>
  </si>
  <si>
    <t xml:space="preserve">INV-90598</t>
  </si>
  <si>
    <t xml:space="preserve">SALE-00726</t>
  </si>
  <si>
    <t xml:space="preserve">INV-18838</t>
  </si>
  <si>
    <t xml:space="preserve">SALE-00727</t>
  </si>
  <si>
    <t xml:space="preserve">INV-26720</t>
  </si>
  <si>
    <t xml:space="preserve">SALE-00728</t>
  </si>
  <si>
    <t xml:space="preserve">INV-58804</t>
  </si>
  <si>
    <t xml:space="preserve">SALE-00729</t>
  </si>
  <si>
    <t xml:space="preserve">INV-76762</t>
  </si>
  <si>
    <t xml:space="preserve">SALE-00730</t>
  </si>
  <si>
    <t xml:space="preserve">INV-92656</t>
  </si>
  <si>
    <t xml:space="preserve">SALE-00731</t>
  </si>
  <si>
    <t xml:space="preserve">INV-22019</t>
  </si>
  <si>
    <t xml:space="preserve">SALE-00732</t>
  </si>
  <si>
    <t xml:space="preserve">INV-60362</t>
  </si>
  <si>
    <t xml:space="preserve">SALE-00733</t>
  </si>
  <si>
    <t xml:space="preserve">INV-75558</t>
  </si>
  <si>
    <t xml:space="preserve">SALE-00734</t>
  </si>
  <si>
    <t xml:space="preserve">INV-50022</t>
  </si>
  <si>
    <t xml:space="preserve">SALE-00735</t>
  </si>
  <si>
    <t xml:space="preserve">INV-83546</t>
  </si>
  <si>
    <t xml:space="preserve">SALE-00736</t>
  </si>
  <si>
    <t xml:space="preserve">INV-68960</t>
  </si>
  <si>
    <t xml:space="preserve">SALE-00737</t>
  </si>
  <si>
    <t xml:space="preserve">INV-98960</t>
  </si>
  <si>
    <t xml:space="preserve">SALE-00738</t>
  </si>
  <si>
    <t xml:space="preserve">INV-32081</t>
  </si>
  <si>
    <t xml:space="preserve">SALE-00739</t>
  </si>
  <si>
    <t xml:space="preserve">SALE-00740</t>
  </si>
  <si>
    <t xml:space="preserve">INV-32553</t>
  </si>
  <si>
    <t xml:space="preserve">SALE-00741</t>
  </si>
  <si>
    <t xml:space="preserve">INV-48274</t>
  </si>
  <si>
    <t xml:space="preserve">SALE-00742</t>
  </si>
  <si>
    <t xml:space="preserve">INV-99196</t>
  </si>
  <si>
    <t xml:space="preserve">SALE-00743</t>
  </si>
  <si>
    <t xml:space="preserve">INV-93453</t>
  </si>
  <si>
    <t xml:space="preserve">SALE-00744</t>
  </si>
  <si>
    <t xml:space="preserve">INV-98592</t>
  </si>
  <si>
    <t xml:space="preserve">SALE-00745</t>
  </si>
  <si>
    <t xml:space="preserve">INV-74756</t>
  </si>
  <si>
    <t xml:space="preserve">SALE-00746</t>
  </si>
  <si>
    <t xml:space="preserve">INV-82227</t>
  </si>
  <si>
    <t xml:space="preserve">SALE-00747</t>
  </si>
  <si>
    <t xml:space="preserve">INV-45899</t>
  </si>
  <si>
    <t xml:space="preserve">SALE-00748</t>
  </si>
  <si>
    <t xml:space="preserve">INV-48265</t>
  </si>
  <si>
    <t xml:space="preserve">SALE-00749</t>
  </si>
  <si>
    <t xml:space="preserve">INV-58981</t>
  </si>
  <si>
    <t xml:space="preserve">SALE-00750</t>
  </si>
  <si>
    <t xml:space="preserve">INV-53854</t>
  </si>
  <si>
    <t xml:space="preserve">SALE-00751</t>
  </si>
  <si>
    <t xml:space="preserve">INV-47001</t>
  </si>
  <si>
    <t xml:space="preserve">SALE-00752</t>
  </si>
  <si>
    <t xml:space="preserve">INV-44875</t>
  </si>
  <si>
    <t xml:space="preserve">SALE-00753</t>
  </si>
  <si>
    <t xml:space="preserve">INV-78752</t>
  </si>
  <si>
    <t xml:space="preserve">SALE-00754</t>
  </si>
  <si>
    <t xml:space="preserve">INV-18453</t>
  </si>
  <si>
    <t xml:space="preserve">SALE-00755</t>
  </si>
  <si>
    <t xml:space="preserve">INV-67943</t>
  </si>
  <si>
    <t xml:space="preserve">SALE-00756</t>
  </si>
  <si>
    <t xml:space="preserve">INV-12637</t>
  </si>
  <si>
    <t xml:space="preserve">SALE-00757</t>
  </si>
  <si>
    <t xml:space="preserve">INV-43189</t>
  </si>
  <si>
    <t xml:space="preserve">SALE-00758</t>
  </si>
  <si>
    <t xml:space="preserve">INV-96287</t>
  </si>
  <si>
    <t xml:space="preserve">SALE-00759</t>
  </si>
  <si>
    <t xml:space="preserve">INV-20845</t>
  </si>
  <si>
    <t xml:space="preserve">SALE-00760</t>
  </si>
  <si>
    <t xml:space="preserve">INV-15298</t>
  </si>
  <si>
    <t xml:space="preserve">SALE-00761</t>
  </si>
  <si>
    <t xml:space="preserve">INV-17405</t>
  </si>
  <si>
    <t xml:space="preserve">SALE-00762</t>
  </si>
  <si>
    <t xml:space="preserve">INV-70110</t>
  </si>
  <si>
    <t xml:space="preserve">SALE-00763</t>
  </si>
  <si>
    <t xml:space="preserve">SALE-00764</t>
  </si>
  <si>
    <t xml:space="preserve">INV-26700</t>
  </si>
  <si>
    <t xml:space="preserve">SALE-00765</t>
  </si>
  <si>
    <t xml:space="preserve">INV-75893</t>
  </si>
  <si>
    <t xml:space="preserve">SALE-00766</t>
  </si>
  <si>
    <t xml:space="preserve">INV-74991</t>
  </si>
  <si>
    <t xml:space="preserve">SALE-00767</t>
  </si>
  <si>
    <t xml:space="preserve">INV-72568</t>
  </si>
  <si>
    <t xml:space="preserve">SALE-00768</t>
  </si>
  <si>
    <t xml:space="preserve">INV-89084</t>
  </si>
  <si>
    <t xml:space="preserve">SALE-00769</t>
  </si>
  <si>
    <t xml:space="preserve">INV-12939</t>
  </si>
  <si>
    <t xml:space="preserve">SALE-00770</t>
  </si>
  <si>
    <t xml:space="preserve">INV-28698</t>
  </si>
  <si>
    <t xml:space="preserve">SALE-00771</t>
  </si>
  <si>
    <t xml:space="preserve">INV-28623</t>
  </si>
  <si>
    <t xml:space="preserve">SALE-00772</t>
  </si>
  <si>
    <t xml:space="preserve">INV-50651</t>
  </si>
  <si>
    <t xml:space="preserve">SALE-00773</t>
  </si>
  <si>
    <t xml:space="preserve">INV-79130</t>
  </si>
  <si>
    <t xml:space="preserve">SALE-00774</t>
  </si>
  <si>
    <t xml:space="preserve">INV-24040</t>
  </si>
  <si>
    <t xml:space="preserve">SALE-00775</t>
  </si>
  <si>
    <t xml:space="preserve">INV-52233</t>
  </si>
  <si>
    <t xml:space="preserve">SALE-00776</t>
  </si>
  <si>
    <t xml:space="preserve">INV-61471</t>
  </si>
  <si>
    <t xml:space="preserve">SALE-00777</t>
  </si>
  <si>
    <t xml:space="preserve">INV-24510</t>
  </si>
  <si>
    <t xml:space="preserve">SALE-00778</t>
  </si>
  <si>
    <t xml:space="preserve">INV-98812</t>
  </si>
  <si>
    <t xml:space="preserve">SALE-00779</t>
  </si>
  <si>
    <t xml:space="preserve">INV-41224</t>
  </si>
  <si>
    <t xml:space="preserve">SALE-00780</t>
  </si>
  <si>
    <t xml:space="preserve">INV-98518</t>
  </si>
  <si>
    <t xml:space="preserve">SALE-00781</t>
  </si>
  <si>
    <t xml:space="preserve">INV-44178</t>
  </si>
  <si>
    <t xml:space="preserve">SALE-00782</t>
  </si>
  <si>
    <t xml:space="preserve">INV-41557</t>
  </si>
  <si>
    <t xml:space="preserve">SALE-00783</t>
  </si>
  <si>
    <t xml:space="preserve">INV-40980</t>
  </si>
  <si>
    <t xml:space="preserve">SALE-00784</t>
  </si>
  <si>
    <t xml:space="preserve">INV-66905</t>
  </si>
  <si>
    <t xml:space="preserve">SALE-00785</t>
  </si>
  <si>
    <t xml:space="preserve">INV-93587</t>
  </si>
  <si>
    <t xml:space="preserve">SALE-00786</t>
  </si>
  <si>
    <t xml:space="preserve">INV-80043</t>
  </si>
  <si>
    <t xml:space="preserve">SALE-00787</t>
  </si>
  <si>
    <t xml:space="preserve">INV-82954</t>
  </si>
  <si>
    <t xml:space="preserve">SALE-00788</t>
  </si>
  <si>
    <t xml:space="preserve">INV-28165</t>
  </si>
  <si>
    <t xml:space="preserve">SALE-00789</t>
  </si>
  <si>
    <t xml:space="preserve">INV-81655</t>
  </si>
  <si>
    <t xml:space="preserve">SALE-00790</t>
  </si>
  <si>
    <t xml:space="preserve">INV-34451</t>
  </si>
  <si>
    <t xml:space="preserve">SALE-00791</t>
  </si>
  <si>
    <t xml:space="preserve">INV-49391</t>
  </si>
  <si>
    <t xml:space="preserve">SALE-00792</t>
  </si>
  <si>
    <t xml:space="preserve">INV-28426</t>
  </si>
  <si>
    <t xml:space="preserve">SALE-00793</t>
  </si>
  <si>
    <t xml:space="preserve">INV-10470</t>
  </si>
  <si>
    <t xml:space="preserve">SALE-00794</t>
  </si>
  <si>
    <t xml:space="preserve">INV-47493</t>
  </si>
  <si>
    <t xml:space="preserve">SALE-00795</t>
  </si>
  <si>
    <t xml:space="preserve">INV-84827</t>
  </si>
  <si>
    <t xml:space="preserve">SALE-00796</t>
  </si>
  <si>
    <t xml:space="preserve">INV-52007</t>
  </si>
  <si>
    <t xml:space="preserve">SALE-00797</t>
  </si>
  <si>
    <t xml:space="preserve">INV-31858</t>
  </si>
  <si>
    <t xml:space="preserve">SALE-00798</t>
  </si>
  <si>
    <t xml:space="preserve">INV-78903</t>
  </si>
  <si>
    <t xml:space="preserve">SALE-00799</t>
  </si>
  <si>
    <t xml:space="preserve">INV-60412</t>
  </si>
  <si>
    <t xml:space="preserve">SALE-00800</t>
  </si>
  <si>
    <t xml:space="preserve">INV-88840</t>
  </si>
  <si>
    <t xml:space="preserve">SALE-00801</t>
  </si>
  <si>
    <t xml:space="preserve">INV-11375</t>
  </si>
  <si>
    <t xml:space="preserve">SALE-00802</t>
  </si>
  <si>
    <t xml:space="preserve">INV-13179</t>
  </si>
  <si>
    <t xml:space="preserve">SALE-00803</t>
  </si>
  <si>
    <t xml:space="preserve">INV-23864</t>
  </si>
  <si>
    <t xml:space="preserve">SALE-00804</t>
  </si>
  <si>
    <t xml:space="preserve">INV-25717</t>
  </si>
  <si>
    <t xml:space="preserve">SALE-00805</t>
  </si>
  <si>
    <t xml:space="preserve">INV-70890</t>
  </si>
  <si>
    <t xml:space="preserve">SALE-00806</t>
  </si>
  <si>
    <t xml:space="preserve">INV-15977</t>
  </si>
  <si>
    <t xml:space="preserve">SALE-00807</t>
  </si>
  <si>
    <t xml:space="preserve">INV-94878</t>
  </si>
  <si>
    <t xml:space="preserve">SALE-00808</t>
  </si>
  <si>
    <t xml:space="preserve">INV-40308</t>
  </si>
  <si>
    <t xml:space="preserve">SALE-00809</t>
  </si>
  <si>
    <t xml:space="preserve">INV-66483</t>
  </si>
  <si>
    <t xml:space="preserve">SALE-00810</t>
  </si>
  <si>
    <t xml:space="preserve">INV-31662</t>
  </si>
  <si>
    <t xml:space="preserve">SALE-00811</t>
  </si>
  <si>
    <t xml:space="preserve">INV-47132</t>
  </si>
  <si>
    <t xml:space="preserve">SALE-00812</t>
  </si>
  <si>
    <t xml:space="preserve">INV-19373</t>
  </si>
  <si>
    <t xml:space="preserve">SALE-00813</t>
  </si>
  <si>
    <t xml:space="preserve">INV-75316</t>
  </si>
  <si>
    <t xml:space="preserve">SALE-00814</t>
  </si>
  <si>
    <t xml:space="preserve">INV-36468</t>
  </si>
  <si>
    <t xml:space="preserve">SALE-00815</t>
  </si>
  <si>
    <t xml:space="preserve">INV-28544</t>
  </si>
  <si>
    <t xml:space="preserve">SALE-00816</t>
  </si>
  <si>
    <t xml:space="preserve">INV-54683</t>
  </si>
  <si>
    <t xml:space="preserve">SALE-00817</t>
  </si>
  <si>
    <t xml:space="preserve">INV-42530</t>
  </si>
  <si>
    <t xml:space="preserve">SALE-00818</t>
  </si>
  <si>
    <t xml:space="preserve">INV-87972</t>
  </si>
  <si>
    <t xml:space="preserve">SALE-00819</t>
  </si>
  <si>
    <t xml:space="preserve">INV-83596</t>
  </si>
  <si>
    <t xml:space="preserve">SALE-00820</t>
  </si>
  <si>
    <t xml:space="preserve">INV-12541</t>
  </si>
  <si>
    <t xml:space="preserve">SALE-00821</t>
  </si>
  <si>
    <t xml:space="preserve">INV-70642</t>
  </si>
  <si>
    <t xml:space="preserve">SALE-00822</t>
  </si>
  <si>
    <t xml:space="preserve">INV-69195</t>
  </si>
  <si>
    <t xml:space="preserve">SALE-00823</t>
  </si>
  <si>
    <t xml:space="preserve">INV-83564</t>
  </si>
  <si>
    <t xml:space="preserve">SALE-00824</t>
  </si>
  <si>
    <t xml:space="preserve">INV-25990</t>
  </si>
  <si>
    <t xml:space="preserve">SALE-00825</t>
  </si>
  <si>
    <t xml:space="preserve">INV-83360</t>
  </si>
  <si>
    <t xml:space="preserve">SALE-00826</t>
  </si>
  <si>
    <t xml:space="preserve">INV-72160</t>
  </si>
  <si>
    <t xml:space="preserve">SALE-00827</t>
  </si>
  <si>
    <t xml:space="preserve">INV-37240</t>
  </si>
  <si>
    <t xml:space="preserve">SALE-00828</t>
  </si>
  <si>
    <t xml:space="preserve">SALE-00829</t>
  </si>
  <si>
    <t xml:space="preserve">INV-54652</t>
  </si>
  <si>
    <t xml:space="preserve">SALE-00830</t>
  </si>
  <si>
    <t xml:space="preserve">INV-93311</t>
  </si>
  <si>
    <t xml:space="preserve">SALE-00831</t>
  </si>
  <si>
    <t xml:space="preserve">INV-77639</t>
  </si>
  <si>
    <t xml:space="preserve">SALE-00832</t>
  </si>
  <si>
    <t xml:space="preserve">INV-29440</t>
  </si>
  <si>
    <t xml:space="preserve">SALE-00833</t>
  </si>
  <si>
    <t xml:space="preserve">INV-82002</t>
  </si>
  <si>
    <t xml:space="preserve">SALE-00834</t>
  </si>
  <si>
    <t xml:space="preserve">INV-87069</t>
  </si>
  <si>
    <t xml:space="preserve">SALE-00835</t>
  </si>
  <si>
    <t xml:space="preserve">INV-32382</t>
  </si>
  <si>
    <t xml:space="preserve">SALE-00836</t>
  </si>
  <si>
    <t xml:space="preserve">INV-81486</t>
  </si>
  <si>
    <t xml:space="preserve">SALE-00837</t>
  </si>
  <si>
    <t xml:space="preserve">INV-34895</t>
  </si>
  <si>
    <t xml:space="preserve">SALE-00838</t>
  </si>
  <si>
    <t xml:space="preserve">INV-86892</t>
  </si>
  <si>
    <t xml:space="preserve">SALE-00839</t>
  </si>
  <si>
    <t xml:space="preserve">INV-27129</t>
  </si>
  <si>
    <t xml:space="preserve">SALE-00840</t>
  </si>
  <si>
    <t xml:space="preserve">INV-56121</t>
  </si>
  <si>
    <t xml:space="preserve">SALE-00841</t>
  </si>
  <si>
    <t xml:space="preserve">INV-37517</t>
  </si>
  <si>
    <t xml:space="preserve">SALE-00842</t>
  </si>
  <si>
    <t xml:space="preserve">INV-15788</t>
  </si>
  <si>
    <t xml:space="preserve">SALE-00843</t>
  </si>
  <si>
    <t xml:space="preserve">INV-42317</t>
  </si>
  <si>
    <t xml:space="preserve">SALE-00844</t>
  </si>
  <si>
    <t xml:space="preserve">INV-87696</t>
  </si>
  <si>
    <t xml:space="preserve">SALE-00845</t>
  </si>
  <si>
    <t xml:space="preserve">INV-39909</t>
  </si>
  <si>
    <t xml:space="preserve">SALE-00846</t>
  </si>
  <si>
    <t xml:space="preserve">INV-32064</t>
  </si>
  <si>
    <t xml:space="preserve">SALE-00847</t>
  </si>
  <si>
    <t xml:space="preserve">INV-82335</t>
  </si>
  <si>
    <t xml:space="preserve">SALE-00848</t>
  </si>
  <si>
    <t xml:space="preserve">INV-92960</t>
  </si>
  <si>
    <t xml:space="preserve">SALE-00849</t>
  </si>
  <si>
    <t xml:space="preserve">INV-34364</t>
  </si>
  <si>
    <t xml:space="preserve">SALE-00850</t>
  </si>
  <si>
    <t xml:space="preserve">INV-84385</t>
  </si>
  <si>
    <t xml:space="preserve">SALE-00851</t>
  </si>
  <si>
    <t xml:space="preserve">INV-34131</t>
  </si>
  <si>
    <t xml:space="preserve">SALE-00852</t>
  </si>
  <si>
    <t xml:space="preserve">INV-48289</t>
  </si>
  <si>
    <t xml:space="preserve">SALE-00853</t>
  </si>
  <si>
    <t xml:space="preserve">INV-23675</t>
  </si>
  <si>
    <t xml:space="preserve">SALE-00854</t>
  </si>
  <si>
    <t xml:space="preserve">INV-63487</t>
  </si>
  <si>
    <t xml:space="preserve">SALE-00855</t>
  </si>
  <si>
    <t xml:space="preserve">INV-41100</t>
  </si>
  <si>
    <t xml:space="preserve">SALE-00856</t>
  </si>
  <si>
    <t xml:space="preserve">INV-19239</t>
  </si>
  <si>
    <t xml:space="preserve">SALE-00857</t>
  </si>
  <si>
    <t xml:space="preserve">INV-52046</t>
  </si>
  <si>
    <t xml:space="preserve">SALE-00858</t>
  </si>
  <si>
    <t xml:space="preserve">INV-11664</t>
  </si>
  <si>
    <t xml:space="preserve">SALE-00859</t>
  </si>
  <si>
    <t xml:space="preserve">INV-77263</t>
  </si>
  <si>
    <t xml:space="preserve">SALE-00860</t>
  </si>
  <si>
    <t xml:space="preserve">INV-97144</t>
  </si>
  <si>
    <t xml:space="preserve">SALE-00861</t>
  </si>
  <si>
    <t xml:space="preserve">INV-76713</t>
  </si>
  <si>
    <t xml:space="preserve">SALE-00862</t>
  </si>
  <si>
    <t xml:space="preserve">INV-25600</t>
  </si>
  <si>
    <t xml:space="preserve">SALE-00863</t>
  </si>
  <si>
    <t xml:space="preserve">INV-17358</t>
  </si>
  <si>
    <t xml:space="preserve">SALE-00864</t>
  </si>
  <si>
    <t xml:space="preserve">INV-71818</t>
  </si>
  <si>
    <t xml:space="preserve">SALE-00865</t>
  </si>
  <si>
    <t xml:space="preserve">INV-84110</t>
  </si>
  <si>
    <t xml:space="preserve">SALE-00866</t>
  </si>
  <si>
    <t xml:space="preserve">INV-70963</t>
  </si>
  <si>
    <t xml:space="preserve">SALE-00867</t>
  </si>
  <si>
    <t xml:space="preserve">INV-68049</t>
  </si>
  <si>
    <t xml:space="preserve">SALE-00868</t>
  </si>
  <si>
    <t xml:space="preserve">INV-14122</t>
  </si>
  <si>
    <t xml:space="preserve">SALE-00869</t>
  </si>
  <si>
    <t xml:space="preserve">INV-69998</t>
  </si>
  <si>
    <t xml:space="preserve">SALE-00870</t>
  </si>
  <si>
    <t xml:space="preserve">INV-42710</t>
  </si>
  <si>
    <t xml:space="preserve">SALE-00871</t>
  </si>
  <si>
    <t xml:space="preserve">INV-83774</t>
  </si>
  <si>
    <t xml:space="preserve">SALE-00872</t>
  </si>
  <si>
    <t xml:space="preserve">INV-90212</t>
  </si>
  <si>
    <t xml:space="preserve">SALE-00873</t>
  </si>
  <si>
    <t xml:space="preserve">INV-81755</t>
  </si>
  <si>
    <t xml:space="preserve">SALE-00874</t>
  </si>
  <si>
    <t xml:space="preserve">INV-94727</t>
  </si>
  <si>
    <t xml:space="preserve">SALE-00875</t>
  </si>
  <si>
    <t xml:space="preserve">INV-91294</t>
  </si>
  <si>
    <t xml:space="preserve">SALE-00876</t>
  </si>
  <si>
    <t xml:space="preserve">INV-37331</t>
  </si>
  <si>
    <t xml:space="preserve">SALE-00877</t>
  </si>
  <si>
    <t xml:space="preserve">INV-69666</t>
  </si>
  <si>
    <t xml:space="preserve">SALE-00878</t>
  </si>
  <si>
    <t xml:space="preserve">INV-98638</t>
  </si>
  <si>
    <t xml:space="preserve">SALE-00879</t>
  </si>
  <si>
    <t xml:space="preserve">INV-27028</t>
  </si>
  <si>
    <t xml:space="preserve">SALE-00880</t>
  </si>
  <si>
    <t xml:space="preserve">INV-59989</t>
  </si>
  <si>
    <t xml:space="preserve">SALE-00881</t>
  </si>
  <si>
    <t xml:space="preserve">INV-51191</t>
  </si>
  <si>
    <t xml:space="preserve">SALE-00882</t>
  </si>
  <si>
    <t xml:space="preserve">INV-61240</t>
  </si>
  <si>
    <t xml:space="preserve">SALE-00883</t>
  </si>
  <si>
    <t xml:space="preserve">INV-27188</t>
  </si>
  <si>
    <t xml:space="preserve">SALE-00884</t>
  </si>
  <si>
    <t xml:space="preserve">INV-92204</t>
  </si>
  <si>
    <t xml:space="preserve">SALE-00885</t>
  </si>
  <si>
    <t xml:space="preserve">INV-91856</t>
  </si>
  <si>
    <t xml:space="preserve">SALE-00886</t>
  </si>
  <si>
    <t xml:space="preserve">INV-82349</t>
  </si>
  <si>
    <t xml:space="preserve">SALE-00887</t>
  </si>
  <si>
    <t xml:space="preserve">INV-42523</t>
  </si>
  <si>
    <t xml:space="preserve">SALE-00888</t>
  </si>
  <si>
    <t xml:space="preserve">INV-22264</t>
  </si>
  <si>
    <t xml:space="preserve">SALE-00889</t>
  </si>
  <si>
    <t xml:space="preserve">INV-31530</t>
  </si>
  <si>
    <t xml:space="preserve">SALE-00890</t>
  </si>
  <si>
    <t xml:space="preserve">INV-93610</t>
  </si>
  <si>
    <t xml:space="preserve">SALE-00891</t>
  </si>
  <si>
    <t xml:space="preserve">INV-87522</t>
  </si>
  <si>
    <t xml:space="preserve">SALE-00892</t>
  </si>
  <si>
    <t xml:space="preserve">INV-57202</t>
  </si>
  <si>
    <t xml:space="preserve">SALE-00893</t>
  </si>
  <si>
    <t xml:space="preserve">INV-46750</t>
  </si>
  <si>
    <t xml:space="preserve">SALE-00894</t>
  </si>
  <si>
    <t xml:space="preserve">INV-76977</t>
  </si>
  <si>
    <t xml:space="preserve">SALE-00895</t>
  </si>
  <si>
    <t xml:space="preserve">INV-42905</t>
  </si>
  <si>
    <t xml:space="preserve">SALE-00896</t>
  </si>
  <si>
    <t xml:space="preserve">INV-51225</t>
  </si>
  <si>
    <t xml:space="preserve">SALE-00897</t>
  </si>
  <si>
    <t xml:space="preserve">INV-51963</t>
  </si>
  <si>
    <t xml:space="preserve">SALE-00898</t>
  </si>
  <si>
    <t xml:space="preserve">INV-21683</t>
  </si>
  <si>
    <t xml:space="preserve">SALE-00899</t>
  </si>
  <si>
    <t xml:space="preserve">INV-37318</t>
  </si>
  <si>
    <t xml:space="preserve">SALE-00900</t>
  </si>
  <si>
    <t xml:space="preserve">INV-35083</t>
  </si>
  <si>
    <t xml:space="preserve">SALE-00901</t>
  </si>
  <si>
    <t xml:space="preserve">INV-51795</t>
  </si>
  <si>
    <t xml:space="preserve">SALE-00902</t>
  </si>
  <si>
    <t xml:space="preserve">INV-96868</t>
  </si>
  <si>
    <t xml:space="preserve">SALE-00903</t>
  </si>
  <si>
    <t xml:space="preserve">INV-93395</t>
  </si>
  <si>
    <t xml:space="preserve">SALE-00904</t>
  </si>
  <si>
    <t xml:space="preserve">INV-93265</t>
  </si>
  <si>
    <t xml:space="preserve">SALE-00905</t>
  </si>
  <si>
    <t xml:space="preserve">INV-74454</t>
  </si>
  <si>
    <t xml:space="preserve">SALE-00906</t>
  </si>
  <si>
    <t xml:space="preserve">INV-97781</t>
  </si>
  <si>
    <t xml:space="preserve">SALE-00907</t>
  </si>
  <si>
    <t xml:space="preserve">INV-32165</t>
  </si>
  <si>
    <t xml:space="preserve">SALE-00908</t>
  </si>
  <si>
    <t xml:space="preserve">INV-96323</t>
  </si>
  <si>
    <t xml:space="preserve">SALE-00909</t>
  </si>
  <si>
    <t xml:space="preserve">INV-55295</t>
  </si>
  <si>
    <t xml:space="preserve">SALE-00910</t>
  </si>
  <si>
    <t xml:space="preserve">INV-22854</t>
  </si>
  <si>
    <t xml:space="preserve">SALE-00911</t>
  </si>
  <si>
    <t xml:space="preserve">INV-59585</t>
  </si>
  <si>
    <t xml:space="preserve">SALE-00912</t>
  </si>
  <si>
    <t xml:space="preserve">INV-62061</t>
  </si>
  <si>
    <t xml:space="preserve">SALE-00913</t>
  </si>
  <si>
    <t xml:space="preserve">INV-32847</t>
  </si>
  <si>
    <t xml:space="preserve">SALE-00914</t>
  </si>
  <si>
    <t xml:space="preserve">INV-19051</t>
  </si>
  <si>
    <t xml:space="preserve">SALE-00915</t>
  </si>
  <si>
    <t xml:space="preserve">INV-75383</t>
  </si>
  <si>
    <t xml:space="preserve">SALE-00916</t>
  </si>
  <si>
    <t xml:space="preserve">INV-49887</t>
  </si>
  <si>
    <t xml:space="preserve">SALE-00917</t>
  </si>
  <si>
    <t xml:space="preserve">INV-58037</t>
  </si>
  <si>
    <t xml:space="preserve">SALE-00918</t>
  </si>
  <si>
    <t xml:space="preserve">INV-85116</t>
  </si>
  <si>
    <t xml:space="preserve">SALE-00919</t>
  </si>
  <si>
    <t xml:space="preserve">INV-70298</t>
  </si>
  <si>
    <t xml:space="preserve">SALE-00920</t>
  </si>
  <si>
    <t xml:space="preserve">INV-46210</t>
  </si>
  <si>
    <t xml:space="preserve">SALE-00921</t>
  </si>
  <si>
    <t xml:space="preserve">INV-41856</t>
  </si>
  <si>
    <t xml:space="preserve">SALE-00922</t>
  </si>
  <si>
    <t xml:space="preserve">INV-58610</t>
  </si>
  <si>
    <t xml:space="preserve">SALE-00923</t>
  </si>
  <si>
    <t xml:space="preserve">INV-30173</t>
  </si>
  <si>
    <t xml:space="preserve">SALE-00924</t>
  </si>
  <si>
    <t xml:space="preserve">INV-16346</t>
  </si>
  <si>
    <t xml:space="preserve">SALE-00925</t>
  </si>
  <si>
    <t xml:space="preserve">INV-93139</t>
  </si>
  <si>
    <t xml:space="preserve">SALE-00926</t>
  </si>
  <si>
    <t xml:space="preserve">INV-15735</t>
  </si>
  <si>
    <t xml:space="preserve">SALE-00927</t>
  </si>
  <si>
    <t xml:space="preserve">INV-26596</t>
  </si>
  <si>
    <t xml:space="preserve">SALE-00928</t>
  </si>
  <si>
    <t xml:space="preserve">INV-44449</t>
  </si>
  <si>
    <t xml:space="preserve">SALE-00929</t>
  </si>
  <si>
    <t xml:space="preserve">INV-23751</t>
  </si>
  <si>
    <t xml:space="preserve">SALE-00930</t>
  </si>
  <si>
    <t xml:space="preserve">INV-64776</t>
  </si>
  <si>
    <t xml:space="preserve">SALE-00931</t>
  </si>
  <si>
    <t xml:space="preserve">INV-44976</t>
  </si>
  <si>
    <t xml:space="preserve">SALE-00932</t>
  </si>
  <si>
    <t xml:space="preserve">INV-39659</t>
  </si>
  <si>
    <t xml:space="preserve">SALE-00933</t>
  </si>
  <si>
    <t xml:space="preserve">INV-60212</t>
  </si>
  <si>
    <t xml:space="preserve">SALE-00934</t>
  </si>
  <si>
    <t xml:space="preserve">INV-20420</t>
  </si>
  <si>
    <t xml:space="preserve">SALE-00935</t>
  </si>
  <si>
    <t xml:space="preserve">INV-62289</t>
  </si>
  <si>
    <t xml:space="preserve">SALE-00936</t>
  </si>
  <si>
    <t xml:space="preserve">INV-14803</t>
  </si>
  <si>
    <t xml:space="preserve">SALE-00937</t>
  </si>
  <si>
    <t xml:space="preserve">INV-70942</t>
  </si>
  <si>
    <t xml:space="preserve">SALE-00938</t>
  </si>
  <si>
    <t xml:space="preserve">INV-97249</t>
  </si>
  <si>
    <t xml:space="preserve">SALE-00939</t>
  </si>
  <si>
    <t xml:space="preserve">INV-92492</t>
  </si>
  <si>
    <t xml:space="preserve">SALE-00940</t>
  </si>
  <si>
    <t xml:space="preserve">INV-38898</t>
  </si>
  <si>
    <t xml:space="preserve">SALE-00941</t>
  </si>
  <si>
    <t xml:space="preserve">INV-55729</t>
  </si>
  <si>
    <t xml:space="preserve">SALE-00942</t>
  </si>
  <si>
    <t xml:space="preserve">INV-25260</t>
  </si>
  <si>
    <t xml:space="preserve">SALE-00943</t>
  </si>
  <si>
    <t xml:space="preserve">INV-43620</t>
  </si>
  <si>
    <t xml:space="preserve">SALE-00944</t>
  </si>
  <si>
    <t xml:space="preserve">INV-61904</t>
  </si>
  <si>
    <t xml:space="preserve">SALE-00945</t>
  </si>
  <si>
    <t xml:space="preserve">INV-36735</t>
  </si>
  <si>
    <t xml:space="preserve">SALE-00946</t>
  </si>
  <si>
    <t xml:space="preserve">INV-78567</t>
  </si>
  <si>
    <t xml:space="preserve">SALE-00947</t>
  </si>
  <si>
    <t xml:space="preserve">INV-30785</t>
  </si>
  <si>
    <t xml:space="preserve">SALE-00948</t>
  </si>
  <si>
    <t xml:space="preserve">INV-71568</t>
  </si>
  <si>
    <t xml:space="preserve">SALE-00949</t>
  </si>
  <si>
    <t xml:space="preserve">INV-85346</t>
  </si>
  <si>
    <t xml:space="preserve">SALE-00950</t>
  </si>
  <si>
    <t xml:space="preserve">INV-43915</t>
  </si>
  <si>
    <t xml:space="preserve">SALE-00951</t>
  </si>
  <si>
    <t xml:space="preserve">INV-44315</t>
  </si>
  <si>
    <t xml:space="preserve">SALE-00952</t>
  </si>
  <si>
    <t xml:space="preserve">INV-36177</t>
  </si>
  <si>
    <t xml:space="preserve">SALE-00953</t>
  </si>
  <si>
    <t xml:space="preserve">INV-17767</t>
  </si>
  <si>
    <t xml:space="preserve">SALE-00954</t>
  </si>
  <si>
    <t xml:space="preserve">INV-23413</t>
  </si>
  <si>
    <t xml:space="preserve">SALE-00955</t>
  </si>
  <si>
    <t xml:space="preserve">INV-96709</t>
  </si>
  <si>
    <t xml:space="preserve">SALE-00956</t>
  </si>
  <si>
    <t xml:space="preserve">INV-66143</t>
  </si>
  <si>
    <t xml:space="preserve">SALE-00957</t>
  </si>
  <si>
    <t xml:space="preserve">INV-60288</t>
  </si>
  <si>
    <t xml:space="preserve">SALE-00958</t>
  </si>
  <si>
    <t xml:space="preserve">INV-69021</t>
  </si>
  <si>
    <t xml:space="preserve">SALE-00959</t>
  </si>
  <si>
    <t xml:space="preserve">INV-88062</t>
  </si>
  <si>
    <t xml:space="preserve">SALE-00960</t>
  </si>
  <si>
    <t xml:space="preserve">INV-69402</t>
  </si>
  <si>
    <t xml:space="preserve">SALE-00961</t>
  </si>
  <si>
    <t xml:space="preserve">INV-98128</t>
  </si>
  <si>
    <t xml:space="preserve">SALE-00962</t>
  </si>
  <si>
    <t xml:space="preserve">INV-85514</t>
  </si>
  <si>
    <t xml:space="preserve">SALE-00963</t>
  </si>
  <si>
    <t xml:space="preserve">INV-63242</t>
  </si>
  <si>
    <t xml:space="preserve">SALE-00964</t>
  </si>
  <si>
    <t xml:space="preserve">INV-24463</t>
  </si>
  <si>
    <t xml:space="preserve">SALE-00965</t>
  </si>
  <si>
    <t xml:space="preserve">INV-79703</t>
  </si>
  <si>
    <t xml:space="preserve">SALE-00966</t>
  </si>
  <si>
    <t xml:space="preserve">INV-73823</t>
  </si>
  <si>
    <t xml:space="preserve">SALE-00967</t>
  </si>
  <si>
    <t xml:space="preserve">INV-12807</t>
  </si>
  <si>
    <t xml:space="preserve">SALE-00968</t>
  </si>
  <si>
    <t xml:space="preserve">INV-73727</t>
  </si>
  <si>
    <t xml:space="preserve">SALE-00969</t>
  </si>
  <si>
    <t xml:space="preserve">INV-53686</t>
  </si>
  <si>
    <t xml:space="preserve">SALE-00970</t>
  </si>
  <si>
    <t xml:space="preserve">INV-26289</t>
  </si>
  <si>
    <t xml:space="preserve">SALE-00971</t>
  </si>
  <si>
    <t xml:space="preserve">INV-60795</t>
  </si>
  <si>
    <t xml:space="preserve">SALE-00972</t>
  </si>
  <si>
    <t xml:space="preserve">INV-23285</t>
  </si>
  <si>
    <t xml:space="preserve">SALE-00973</t>
  </si>
  <si>
    <t xml:space="preserve">INV-57945</t>
  </si>
  <si>
    <t xml:space="preserve">SALE-00974</t>
  </si>
  <si>
    <t xml:space="preserve">INV-62873</t>
  </si>
  <si>
    <t xml:space="preserve">SALE-00975</t>
  </si>
  <si>
    <t xml:space="preserve">INV-75999</t>
  </si>
  <si>
    <t xml:space="preserve">SALE-00976</t>
  </si>
  <si>
    <t xml:space="preserve">INV-97055</t>
  </si>
  <si>
    <t xml:space="preserve">SALE-00977</t>
  </si>
  <si>
    <t xml:space="preserve">INV-83737</t>
  </si>
  <si>
    <t xml:space="preserve">SALE-00978</t>
  </si>
  <si>
    <t xml:space="preserve">INV-40818</t>
  </si>
  <si>
    <t xml:space="preserve">SALE-00979</t>
  </si>
  <si>
    <t xml:space="preserve">INV-20798</t>
  </si>
  <si>
    <t xml:space="preserve">SALE-00980</t>
  </si>
  <si>
    <t xml:space="preserve">INV-95029</t>
  </si>
  <si>
    <t xml:space="preserve">SALE-00981</t>
  </si>
  <si>
    <t xml:space="preserve">INV-73079</t>
  </si>
  <si>
    <t xml:space="preserve">SALE-00982</t>
  </si>
  <si>
    <t xml:space="preserve">INV-39363</t>
  </si>
  <si>
    <t xml:space="preserve">SALE-00983</t>
  </si>
  <si>
    <t xml:space="preserve">INV-76364</t>
  </si>
  <si>
    <t xml:space="preserve">SALE-00984</t>
  </si>
  <si>
    <t xml:space="preserve">INV-64901</t>
  </si>
  <si>
    <t xml:space="preserve">SALE-00985</t>
  </si>
  <si>
    <t xml:space="preserve">INV-16401</t>
  </si>
  <si>
    <t xml:space="preserve">SALE-00986</t>
  </si>
  <si>
    <t xml:space="preserve">INV-98907</t>
  </si>
  <si>
    <t xml:space="preserve">SALE-00987</t>
  </si>
  <si>
    <t xml:space="preserve">INV-96741</t>
  </si>
  <si>
    <t xml:space="preserve">SALE-00988</t>
  </si>
  <si>
    <t xml:space="preserve">INV-58385</t>
  </si>
  <si>
    <t xml:space="preserve">SALE-00989</t>
  </si>
  <si>
    <t xml:space="preserve">INV-50151</t>
  </si>
  <si>
    <t xml:space="preserve">SALE-00990</t>
  </si>
  <si>
    <t xml:space="preserve">INV-39720</t>
  </si>
  <si>
    <t xml:space="preserve">SALE-00991</t>
  </si>
  <si>
    <t xml:space="preserve">INV-15948</t>
  </si>
  <si>
    <t xml:space="preserve">SALE-00992</t>
  </si>
  <si>
    <t xml:space="preserve">INV-57429</t>
  </si>
  <si>
    <t xml:space="preserve">SALE-00993</t>
  </si>
  <si>
    <t xml:space="preserve">INV-65330</t>
  </si>
  <si>
    <t xml:space="preserve">SALE-00994</t>
  </si>
  <si>
    <t xml:space="preserve">INV-32026</t>
  </si>
  <si>
    <t xml:space="preserve">SALE-00995</t>
  </si>
  <si>
    <t xml:space="preserve">INV-16489</t>
  </si>
  <si>
    <t xml:space="preserve">SALE-00996</t>
  </si>
  <si>
    <t xml:space="preserve">INV-62187</t>
  </si>
  <si>
    <t xml:space="preserve">SALE-00997</t>
  </si>
  <si>
    <t xml:space="preserve">INV-51032</t>
  </si>
  <si>
    <t xml:space="preserve">SALE-00998</t>
  </si>
  <si>
    <t xml:space="preserve">INV-40101</t>
  </si>
  <si>
    <t xml:space="preserve">SALE-00999</t>
  </si>
  <si>
    <t xml:space="preserve">INV-32400</t>
  </si>
  <si>
    <t xml:space="preserve">SALE-01000</t>
  </si>
  <si>
    <t xml:space="preserve">INV-46147</t>
  </si>
  <si>
    <t xml:space="preserve">SALE-01001</t>
  </si>
  <si>
    <t xml:space="preserve">INV-25282</t>
  </si>
  <si>
    <t xml:space="preserve">SALE-01002</t>
  </si>
  <si>
    <t xml:space="preserve">INV-13087</t>
  </si>
  <si>
    <t xml:space="preserve">SALE-01003</t>
  </si>
  <si>
    <t xml:space="preserve">INV-58348</t>
  </si>
  <si>
    <t xml:space="preserve">SALE-01004</t>
  </si>
  <si>
    <t xml:space="preserve">INV-47756</t>
  </si>
  <si>
    <t xml:space="preserve">SALE-01005</t>
  </si>
  <si>
    <t xml:space="preserve">INV-85758</t>
  </si>
  <si>
    <t xml:space="preserve">SALE-01006</t>
  </si>
  <si>
    <t xml:space="preserve">INV-96026</t>
  </si>
  <si>
    <t xml:space="preserve">SALE-01007</t>
  </si>
  <si>
    <t xml:space="preserve">INV-59884</t>
  </si>
  <si>
    <t xml:space="preserve">SALE-01008</t>
  </si>
  <si>
    <t xml:space="preserve">INV-71219</t>
  </si>
  <si>
    <t xml:space="preserve">SALE-01009</t>
  </si>
  <si>
    <t xml:space="preserve">INV-39366</t>
  </si>
  <si>
    <t xml:space="preserve">SALE-01010</t>
  </si>
  <si>
    <t xml:space="preserve">INV-32457</t>
  </si>
  <si>
    <t xml:space="preserve">SALE-01011</t>
  </si>
  <si>
    <t xml:space="preserve">INV-37992</t>
  </si>
  <si>
    <t xml:space="preserve">SALE-01012</t>
  </si>
  <si>
    <t xml:space="preserve">INV-26797</t>
  </si>
  <si>
    <t xml:space="preserve">SALE-01013</t>
  </si>
  <si>
    <t xml:space="preserve">INV-56306</t>
  </si>
  <si>
    <t xml:space="preserve">SALE-01014</t>
  </si>
  <si>
    <t xml:space="preserve">INV-82168</t>
  </si>
  <si>
    <t xml:space="preserve">SALE-01015</t>
  </si>
  <si>
    <t xml:space="preserve">INV-53450</t>
  </si>
  <si>
    <t xml:space="preserve">SALE-01016</t>
  </si>
  <si>
    <t xml:space="preserve">INV-76875</t>
  </si>
  <si>
    <t xml:space="preserve">SALE-01017</t>
  </si>
  <si>
    <t xml:space="preserve">INV-78564</t>
  </si>
  <si>
    <t xml:space="preserve">SALE-01018</t>
  </si>
  <si>
    <t xml:space="preserve">INV-17803</t>
  </si>
  <si>
    <t xml:space="preserve">SALE-01019</t>
  </si>
  <si>
    <t xml:space="preserve">INV-81147</t>
  </si>
  <si>
    <t xml:space="preserve">SALE-01020</t>
  </si>
  <si>
    <t xml:space="preserve">INV-37403</t>
  </si>
  <si>
    <t xml:space="preserve">SALE-01021</t>
  </si>
  <si>
    <t xml:space="preserve">INV-40552</t>
  </si>
  <si>
    <t xml:space="preserve">SALE-01022</t>
  </si>
  <si>
    <t xml:space="preserve">INV-59105</t>
  </si>
  <si>
    <t xml:space="preserve">SALE-01023</t>
  </si>
  <si>
    <t xml:space="preserve">INV-39194</t>
  </si>
  <si>
    <t xml:space="preserve">SALE-01024</t>
  </si>
  <si>
    <t xml:space="preserve">INV-53466</t>
  </si>
  <si>
    <t xml:space="preserve">SALE-01025</t>
  </si>
  <si>
    <t xml:space="preserve">INV-10123</t>
  </si>
  <si>
    <t xml:space="preserve">SALE-01026</t>
  </si>
  <si>
    <t xml:space="preserve">INV-35274</t>
  </si>
  <si>
    <t xml:space="preserve">SALE-01027</t>
  </si>
  <si>
    <t xml:space="preserve">INV-28223</t>
  </si>
  <si>
    <t xml:space="preserve">SALE-01028</t>
  </si>
  <si>
    <t xml:space="preserve">INV-63233</t>
  </si>
  <si>
    <t xml:space="preserve">SALE-01029</t>
  </si>
  <si>
    <t xml:space="preserve">INV-50640</t>
  </si>
  <si>
    <t xml:space="preserve">SALE-01030</t>
  </si>
  <si>
    <t xml:space="preserve">INV-99845</t>
  </si>
  <si>
    <t xml:space="preserve">SALE-01031</t>
  </si>
  <si>
    <t xml:space="preserve">INV-16386</t>
  </si>
  <si>
    <t xml:space="preserve">SALE-01032</t>
  </si>
  <si>
    <t xml:space="preserve">INV-75400</t>
  </si>
  <si>
    <t xml:space="preserve">SALE-01033</t>
  </si>
  <si>
    <t xml:space="preserve">INV-62310</t>
  </si>
  <si>
    <t xml:space="preserve">SALE-01034</t>
  </si>
  <si>
    <t xml:space="preserve">INV-38001</t>
  </si>
  <si>
    <t xml:space="preserve">SALE-01035</t>
  </si>
  <si>
    <t xml:space="preserve">INV-55401</t>
  </si>
  <si>
    <t xml:space="preserve">SALE-01036</t>
  </si>
  <si>
    <t xml:space="preserve">INV-63684</t>
  </si>
  <si>
    <t xml:space="preserve">SALE-01037</t>
  </si>
  <si>
    <t xml:space="preserve">INV-60539</t>
  </si>
  <si>
    <t xml:space="preserve">SALE-01038</t>
  </si>
  <si>
    <t xml:space="preserve">INV-64983</t>
  </si>
  <si>
    <t xml:space="preserve">SALE-01039</t>
  </si>
  <si>
    <t xml:space="preserve">INV-78257</t>
  </si>
  <si>
    <t xml:space="preserve">SALE-01040</t>
  </si>
  <si>
    <t xml:space="preserve">INV-96435</t>
  </si>
  <si>
    <t xml:space="preserve">SALE-01041</t>
  </si>
  <si>
    <t xml:space="preserve">INV-64056</t>
  </si>
  <si>
    <t xml:space="preserve">SALE-01042</t>
  </si>
  <si>
    <t xml:space="preserve">INV-22339</t>
  </si>
  <si>
    <t xml:space="preserve">SALE-01043</t>
  </si>
  <si>
    <t xml:space="preserve">INV-16671</t>
  </si>
  <si>
    <t xml:space="preserve">SALE-01044</t>
  </si>
  <si>
    <t xml:space="preserve">INV-33770</t>
  </si>
  <si>
    <t xml:space="preserve">SALE-01045</t>
  </si>
  <si>
    <t xml:space="preserve">INV-97859</t>
  </si>
  <si>
    <t xml:space="preserve">SALE-01046</t>
  </si>
  <si>
    <t xml:space="preserve">INV-93931</t>
  </si>
  <si>
    <t xml:space="preserve">SALE-01047</t>
  </si>
  <si>
    <t xml:space="preserve">INV-31932</t>
  </si>
  <si>
    <t xml:space="preserve">SALE-01048</t>
  </si>
  <si>
    <t xml:space="preserve">INV-63445</t>
  </si>
  <si>
    <t xml:space="preserve">SALE-01049</t>
  </si>
  <si>
    <t xml:space="preserve">INV-17769</t>
  </si>
  <si>
    <t xml:space="preserve">SALE-01050</t>
  </si>
  <si>
    <t xml:space="preserve">SALE-01051</t>
  </si>
  <si>
    <t xml:space="preserve">INV-76176</t>
  </si>
  <si>
    <t xml:space="preserve">SALE-01052</t>
  </si>
  <si>
    <t xml:space="preserve">INV-11246</t>
  </si>
  <si>
    <t xml:space="preserve">SALE-01053</t>
  </si>
  <si>
    <t xml:space="preserve">INV-61528</t>
  </si>
  <si>
    <t xml:space="preserve">SALE-01054</t>
  </si>
  <si>
    <t xml:space="preserve">INV-80770</t>
  </si>
  <si>
    <t xml:space="preserve">SALE-01055</t>
  </si>
  <si>
    <t xml:space="preserve">INV-54033</t>
  </si>
  <si>
    <t xml:space="preserve">SALE-01056</t>
  </si>
  <si>
    <t xml:space="preserve">INV-92517</t>
  </si>
  <si>
    <t xml:space="preserve">SALE-01057</t>
  </si>
  <si>
    <t xml:space="preserve">INV-38721</t>
  </si>
  <si>
    <t xml:space="preserve">SALE-01058</t>
  </si>
  <si>
    <t xml:space="preserve">INV-69589</t>
  </si>
  <si>
    <t xml:space="preserve">SALE-01059</t>
  </si>
  <si>
    <t xml:space="preserve">INV-46872</t>
  </si>
  <si>
    <t xml:space="preserve">SALE-01060</t>
  </si>
  <si>
    <t xml:space="preserve">INV-27639</t>
  </si>
  <si>
    <t xml:space="preserve">SALE-01061</t>
  </si>
  <si>
    <t xml:space="preserve">INV-74356</t>
  </si>
  <si>
    <t xml:space="preserve">SALE-01062</t>
  </si>
  <si>
    <t xml:space="preserve">INV-63738</t>
  </si>
  <si>
    <t xml:space="preserve">SALE-01063</t>
  </si>
  <si>
    <t xml:space="preserve">INV-83948</t>
  </si>
  <si>
    <t xml:space="preserve">SALE-01064</t>
  </si>
  <si>
    <t xml:space="preserve">INV-13848</t>
  </si>
  <si>
    <t xml:space="preserve">SALE-01065</t>
  </si>
  <si>
    <t xml:space="preserve">INV-63742</t>
  </si>
  <si>
    <t xml:space="preserve">SALE-01066</t>
  </si>
  <si>
    <t xml:space="preserve">INV-82594</t>
  </si>
  <si>
    <t xml:space="preserve">SALE-01067</t>
  </si>
  <si>
    <t xml:space="preserve">INV-76910</t>
  </si>
  <si>
    <t xml:space="preserve">SALE-01068</t>
  </si>
  <si>
    <t xml:space="preserve">INV-41281</t>
  </si>
  <si>
    <t xml:space="preserve">SALE-01069</t>
  </si>
  <si>
    <t xml:space="preserve">INV-51498</t>
  </si>
  <si>
    <t xml:space="preserve">SALE-01070</t>
  </si>
  <si>
    <t xml:space="preserve">INV-76881</t>
  </si>
  <si>
    <t xml:space="preserve">SALE-01071</t>
  </si>
  <si>
    <t xml:space="preserve">INV-95727</t>
  </si>
  <si>
    <t xml:space="preserve">SALE-01072</t>
  </si>
  <si>
    <t xml:space="preserve">SALE-01073</t>
  </si>
  <si>
    <t xml:space="preserve">INV-37823</t>
  </si>
  <si>
    <t xml:space="preserve">SALE-01074</t>
  </si>
  <si>
    <t xml:space="preserve">INV-35640</t>
  </si>
  <si>
    <t xml:space="preserve">SALE-01075</t>
  </si>
  <si>
    <t xml:space="preserve">INV-72469</t>
  </si>
  <si>
    <t xml:space="preserve">SALE-01076</t>
  </si>
  <si>
    <t xml:space="preserve">INV-85717</t>
  </si>
  <si>
    <t xml:space="preserve">SALE-01077</t>
  </si>
  <si>
    <t xml:space="preserve">INV-99991</t>
  </si>
  <si>
    <t xml:space="preserve">SALE-01078</t>
  </si>
  <si>
    <t xml:space="preserve">INV-27496</t>
  </si>
  <si>
    <t xml:space="preserve">SALE-01079</t>
  </si>
  <si>
    <t xml:space="preserve">INV-19119</t>
  </si>
  <si>
    <t xml:space="preserve">SALE-01080</t>
  </si>
  <si>
    <t xml:space="preserve">INV-78334</t>
  </si>
  <si>
    <t xml:space="preserve">SALE-01081</t>
  </si>
  <si>
    <t xml:space="preserve">INV-14628</t>
  </si>
  <si>
    <t xml:space="preserve">SALE-01082</t>
  </si>
  <si>
    <t xml:space="preserve">INV-72944</t>
  </si>
  <si>
    <t xml:space="preserve">SALE-01083</t>
  </si>
  <si>
    <t xml:space="preserve">INV-25825</t>
  </si>
  <si>
    <t xml:space="preserve">SALE-01084</t>
  </si>
  <si>
    <t xml:space="preserve">INV-25229</t>
  </si>
  <si>
    <t xml:space="preserve">SALE-01085</t>
  </si>
  <si>
    <t xml:space="preserve">INV-95191</t>
  </si>
  <si>
    <t xml:space="preserve">SALE-01086</t>
  </si>
  <si>
    <t xml:space="preserve">INV-17169</t>
  </si>
  <si>
    <t xml:space="preserve">SALE-01087</t>
  </si>
  <si>
    <t xml:space="preserve">INV-74731</t>
  </si>
  <si>
    <t xml:space="preserve">SALE-01088</t>
  </si>
  <si>
    <t xml:space="preserve">INV-77872</t>
  </si>
  <si>
    <t xml:space="preserve">SALE-01089</t>
  </si>
  <si>
    <t xml:space="preserve">INV-65003</t>
  </si>
  <si>
    <t xml:space="preserve">SALE-01090</t>
  </si>
  <si>
    <t xml:space="preserve">INV-43876</t>
  </si>
  <si>
    <t xml:space="preserve">SALE-01091</t>
  </si>
  <si>
    <t xml:space="preserve">INV-93861</t>
  </si>
  <si>
    <t xml:space="preserve">SALE-01092</t>
  </si>
  <si>
    <t xml:space="preserve">INV-94961</t>
  </si>
  <si>
    <t xml:space="preserve">SALE-01093</t>
  </si>
  <si>
    <t xml:space="preserve">INV-92501</t>
  </si>
  <si>
    <t xml:space="preserve">SALE-01094</t>
  </si>
  <si>
    <t xml:space="preserve">INV-86739</t>
  </si>
  <si>
    <t xml:space="preserve">SALE-01095</t>
  </si>
  <si>
    <t xml:space="preserve">INV-97605</t>
  </si>
  <si>
    <t xml:space="preserve">SALE-01096</t>
  </si>
  <si>
    <t xml:space="preserve">INV-17137</t>
  </si>
  <si>
    <t xml:space="preserve">SALE-01097</t>
  </si>
  <si>
    <t xml:space="preserve">INV-51771</t>
  </si>
  <si>
    <t xml:space="preserve">SALE-01098</t>
  </si>
  <si>
    <t xml:space="preserve">INV-75830</t>
  </si>
  <si>
    <t xml:space="preserve">SALE-01099</t>
  </si>
  <si>
    <t xml:space="preserve">INV-87453</t>
  </si>
  <si>
    <t xml:space="preserve">SALE-01100</t>
  </si>
  <si>
    <t xml:space="preserve">INV-57543</t>
  </si>
  <si>
    <t xml:space="preserve">SALE-01101</t>
  </si>
  <si>
    <t xml:space="preserve">INV-84546</t>
  </si>
  <si>
    <t xml:space="preserve">SALE-01102</t>
  </si>
  <si>
    <t xml:space="preserve">INV-94847</t>
  </si>
  <si>
    <t xml:space="preserve">SALE-01103</t>
  </si>
  <si>
    <t xml:space="preserve">INV-22181</t>
  </si>
  <si>
    <t xml:space="preserve">SALE-01104</t>
  </si>
  <si>
    <t xml:space="preserve">INV-93599</t>
  </si>
  <si>
    <t xml:space="preserve">SALE-01105</t>
  </si>
  <si>
    <t xml:space="preserve">INV-69373</t>
  </si>
  <si>
    <t xml:space="preserve">SALE-01106</t>
  </si>
  <si>
    <t xml:space="preserve">INV-74514</t>
  </si>
  <si>
    <t xml:space="preserve">SALE-01107</t>
  </si>
  <si>
    <t xml:space="preserve">INV-56183</t>
  </si>
  <si>
    <t xml:space="preserve">SALE-01108</t>
  </si>
  <si>
    <t xml:space="preserve">INV-17362</t>
  </si>
  <si>
    <t xml:space="preserve">SALE-01109</t>
  </si>
  <si>
    <t xml:space="preserve">INV-23071</t>
  </si>
  <si>
    <t xml:space="preserve">SALE-01110</t>
  </si>
  <si>
    <t xml:space="preserve">INV-75107</t>
  </si>
  <si>
    <t xml:space="preserve">SALE-01111</t>
  </si>
  <si>
    <t xml:space="preserve">INV-35676</t>
  </si>
  <si>
    <t xml:space="preserve">SALE-01112</t>
  </si>
  <si>
    <t xml:space="preserve">INV-91977</t>
  </si>
  <si>
    <t xml:space="preserve">SALE-01113</t>
  </si>
  <si>
    <t xml:space="preserve">INV-98189</t>
  </si>
  <si>
    <t xml:space="preserve">SALE-01114</t>
  </si>
  <si>
    <t xml:space="preserve">INV-71554</t>
  </si>
  <si>
    <t xml:space="preserve">SALE-01115</t>
  </si>
  <si>
    <t xml:space="preserve">INV-93531</t>
  </si>
  <si>
    <t xml:space="preserve">SALE-01116</t>
  </si>
  <si>
    <t xml:space="preserve">INV-35805</t>
  </si>
  <si>
    <t xml:space="preserve">SALE-01117</t>
  </si>
  <si>
    <t xml:space="preserve">INV-24653</t>
  </si>
  <si>
    <t xml:space="preserve">SALE-01118</t>
  </si>
  <si>
    <t xml:space="preserve">INV-51255</t>
  </si>
  <si>
    <t xml:space="preserve">SALE-01119</t>
  </si>
  <si>
    <t xml:space="preserve">INV-85736</t>
  </si>
  <si>
    <t xml:space="preserve">SALE-01120</t>
  </si>
  <si>
    <t xml:space="preserve">INV-24356</t>
  </si>
  <si>
    <t xml:space="preserve">SALE-01121</t>
  </si>
  <si>
    <t xml:space="preserve">INV-38353</t>
  </si>
  <si>
    <t xml:space="preserve">SALE-01122</t>
  </si>
  <si>
    <t xml:space="preserve">INV-36965</t>
  </si>
  <si>
    <t xml:space="preserve">SALE-01123</t>
  </si>
  <si>
    <t xml:space="preserve">INV-94595</t>
  </si>
  <si>
    <t xml:space="preserve">SALE-01124</t>
  </si>
  <si>
    <t xml:space="preserve">INV-36401</t>
  </si>
  <si>
    <t xml:space="preserve">SALE-01125</t>
  </si>
  <si>
    <t xml:space="preserve">INV-66410</t>
  </si>
  <si>
    <t xml:space="preserve">SALE-01126</t>
  </si>
  <si>
    <t xml:space="preserve">INV-12831</t>
  </si>
  <si>
    <t xml:space="preserve">SALE-01127</t>
  </si>
  <si>
    <t xml:space="preserve">SALE-01128</t>
  </si>
  <si>
    <t xml:space="preserve">INV-37152</t>
  </si>
  <si>
    <t xml:space="preserve">SALE-01129</t>
  </si>
  <si>
    <t xml:space="preserve">INV-30939</t>
  </si>
  <si>
    <t xml:space="preserve">SALE-01130</t>
  </si>
  <si>
    <t xml:space="preserve">INV-33981</t>
  </si>
  <si>
    <t xml:space="preserve">SALE-01131</t>
  </si>
  <si>
    <t xml:space="preserve">INV-80369</t>
  </si>
  <si>
    <t xml:space="preserve">SALE-01132</t>
  </si>
  <si>
    <t xml:space="preserve">INV-26653</t>
  </si>
  <si>
    <t xml:space="preserve">SALE-01133</t>
  </si>
  <si>
    <t xml:space="preserve">SALE-01134</t>
  </si>
  <si>
    <t xml:space="preserve">INV-28723</t>
  </si>
  <si>
    <t xml:space="preserve">SALE-01135</t>
  </si>
  <si>
    <t xml:space="preserve">INV-73457</t>
  </si>
  <si>
    <t xml:space="preserve">SALE-01136</t>
  </si>
  <si>
    <t xml:space="preserve">INV-14794</t>
  </si>
  <si>
    <t xml:space="preserve">SALE-01137</t>
  </si>
  <si>
    <t xml:space="preserve">INV-81074</t>
  </si>
  <si>
    <t xml:space="preserve">SALE-01138</t>
  </si>
  <si>
    <t xml:space="preserve">INV-13978</t>
  </si>
  <si>
    <t xml:space="preserve">SALE-01139</t>
  </si>
  <si>
    <t xml:space="preserve">INV-50382</t>
  </si>
  <si>
    <t xml:space="preserve">SALE-01140</t>
  </si>
  <si>
    <t xml:space="preserve">INV-56292</t>
  </si>
  <si>
    <t xml:space="preserve">SALE-01141</t>
  </si>
  <si>
    <t xml:space="preserve">INV-59904</t>
  </si>
  <si>
    <t xml:space="preserve">SALE-01142</t>
  </si>
  <si>
    <t xml:space="preserve">INV-51912</t>
  </si>
  <si>
    <t xml:space="preserve">SALE-01143</t>
  </si>
  <si>
    <t xml:space="preserve">INV-32242</t>
  </si>
  <si>
    <t xml:space="preserve">SALE-01144</t>
  </si>
  <si>
    <t xml:space="preserve">INV-95045</t>
  </si>
  <si>
    <t xml:space="preserve">SALE-01145</t>
  </si>
  <si>
    <t xml:space="preserve">INV-54085</t>
  </si>
  <si>
    <t xml:space="preserve">SALE-01146</t>
  </si>
  <si>
    <t xml:space="preserve">INV-27261</t>
  </si>
  <si>
    <t xml:space="preserve">SALE-01147</t>
  </si>
  <si>
    <t xml:space="preserve">INV-36767</t>
  </si>
  <si>
    <t xml:space="preserve">SALE-01148</t>
  </si>
  <si>
    <t xml:space="preserve">INV-98325</t>
  </si>
  <si>
    <t xml:space="preserve">SALE-01149</t>
  </si>
  <si>
    <t xml:space="preserve">INV-36209</t>
  </si>
  <si>
    <t xml:space="preserve">SALE-01150</t>
  </si>
  <si>
    <t xml:space="preserve">INV-34242</t>
  </si>
  <si>
    <t xml:space="preserve">SALE-01151</t>
  </si>
  <si>
    <t xml:space="preserve">INV-96348</t>
  </si>
  <si>
    <t xml:space="preserve">SALE-01152</t>
  </si>
  <si>
    <t xml:space="preserve">INV-69994</t>
  </si>
  <si>
    <t xml:space="preserve">SALE-01153</t>
  </si>
  <si>
    <t xml:space="preserve">INV-17659</t>
  </si>
  <si>
    <t xml:space="preserve">SALE-01154</t>
  </si>
  <si>
    <t xml:space="preserve">INV-12921</t>
  </si>
  <si>
    <t xml:space="preserve">SALE-01155</t>
  </si>
  <si>
    <t xml:space="preserve">INV-66775</t>
  </si>
  <si>
    <t xml:space="preserve">SALE-01156</t>
  </si>
  <si>
    <t xml:space="preserve">INV-64142</t>
  </si>
  <si>
    <t xml:space="preserve">SALE-01157</t>
  </si>
  <si>
    <t xml:space="preserve">INV-95653</t>
  </si>
  <si>
    <t xml:space="preserve">SALE-01158</t>
  </si>
  <si>
    <t xml:space="preserve">INV-63977</t>
  </si>
  <si>
    <t xml:space="preserve">SALE-01159</t>
  </si>
  <si>
    <t xml:space="preserve">INV-95839</t>
  </si>
  <si>
    <t xml:space="preserve">SALE-01160</t>
  </si>
  <si>
    <t xml:space="preserve">INV-21580</t>
  </si>
  <si>
    <t xml:space="preserve">SALE-01161</t>
  </si>
  <si>
    <t xml:space="preserve">INV-60304</t>
  </si>
  <si>
    <t xml:space="preserve">SALE-01162</t>
  </si>
  <si>
    <t xml:space="preserve">SALE-01163</t>
  </si>
  <si>
    <t xml:space="preserve">INV-55666</t>
  </si>
  <si>
    <t xml:space="preserve">SALE-01164</t>
  </si>
  <si>
    <t xml:space="preserve">INV-35762</t>
  </si>
  <si>
    <t xml:space="preserve">SALE-01165</t>
  </si>
  <si>
    <t xml:space="preserve">INV-27400</t>
  </si>
  <si>
    <t xml:space="preserve">SALE-01166</t>
  </si>
  <si>
    <t xml:space="preserve">INV-30604</t>
  </si>
  <si>
    <t xml:space="preserve">SALE-01167</t>
  </si>
  <si>
    <t xml:space="preserve">INV-20503</t>
  </si>
  <si>
    <t xml:space="preserve">SALE-01168</t>
  </si>
  <si>
    <t xml:space="preserve">INV-60276</t>
  </si>
  <si>
    <t xml:space="preserve">SALE-01169</t>
  </si>
  <si>
    <t xml:space="preserve">INV-48580</t>
  </si>
  <si>
    <t xml:space="preserve">SALE-01170</t>
  </si>
  <si>
    <t xml:space="preserve">INV-82473</t>
  </si>
  <si>
    <t xml:space="preserve">SALE-01171</t>
  </si>
  <si>
    <t xml:space="preserve">INV-84845</t>
  </si>
  <si>
    <t xml:space="preserve">SALE-01172</t>
  </si>
  <si>
    <t xml:space="preserve">INV-46583</t>
  </si>
  <si>
    <t xml:space="preserve">SALE-01173</t>
  </si>
  <si>
    <t xml:space="preserve">INV-36366</t>
  </si>
  <si>
    <t xml:space="preserve">SALE-01174</t>
  </si>
  <si>
    <t xml:space="preserve">INV-56202</t>
  </si>
  <si>
    <t xml:space="preserve">SALE-01175</t>
  </si>
  <si>
    <t xml:space="preserve">INV-64435</t>
  </si>
  <si>
    <t xml:space="preserve">SALE-01176</t>
  </si>
  <si>
    <t xml:space="preserve">INV-25611</t>
  </si>
  <si>
    <t xml:space="preserve">SALE-01177</t>
  </si>
  <si>
    <t xml:space="preserve">INV-13508</t>
  </si>
  <si>
    <t xml:space="preserve">SALE-01178</t>
  </si>
  <si>
    <t xml:space="preserve">INV-67726</t>
  </si>
  <si>
    <t xml:space="preserve">SALE-01179</t>
  </si>
  <si>
    <t xml:space="preserve">INV-93694</t>
  </si>
  <si>
    <t xml:space="preserve">SALE-01180</t>
  </si>
  <si>
    <t xml:space="preserve">INV-85623</t>
  </si>
  <si>
    <t xml:space="preserve">SALE-01181</t>
  </si>
  <si>
    <t xml:space="preserve">INV-29479</t>
  </si>
  <si>
    <t xml:space="preserve">SALE-01182</t>
  </si>
  <si>
    <t xml:space="preserve">INV-97711</t>
  </si>
  <si>
    <t xml:space="preserve">SALE-01183</t>
  </si>
  <si>
    <t xml:space="preserve">INV-64023</t>
  </si>
  <si>
    <t xml:space="preserve">SALE-01184</t>
  </si>
  <si>
    <t xml:space="preserve">INV-74638</t>
  </si>
  <si>
    <t xml:space="preserve">SALE-01185</t>
  </si>
  <si>
    <t xml:space="preserve">INV-13571</t>
  </si>
  <si>
    <t xml:space="preserve">SALE-01186</t>
  </si>
  <si>
    <t xml:space="preserve">INV-57764</t>
  </si>
  <si>
    <t xml:space="preserve">SALE-01187</t>
  </si>
  <si>
    <t xml:space="preserve">INV-39317</t>
  </si>
  <si>
    <t xml:space="preserve">SALE-01188</t>
  </si>
  <si>
    <t xml:space="preserve">INV-83707</t>
  </si>
  <si>
    <t xml:space="preserve">SALE-01189</t>
  </si>
  <si>
    <t xml:space="preserve">INV-82096</t>
  </si>
  <si>
    <t xml:space="preserve">SALE-01190</t>
  </si>
  <si>
    <t xml:space="preserve">INV-20548</t>
  </si>
  <si>
    <t xml:space="preserve">SALE-01191</t>
  </si>
  <si>
    <t xml:space="preserve">INV-31154</t>
  </si>
  <si>
    <t xml:space="preserve">SALE-01192</t>
  </si>
  <si>
    <t xml:space="preserve">INV-17297</t>
  </si>
  <si>
    <t xml:space="preserve">SALE-01193</t>
  </si>
  <si>
    <t xml:space="preserve">INV-40698</t>
  </si>
  <si>
    <t xml:space="preserve">SALE-01194</t>
  </si>
  <si>
    <t xml:space="preserve">INV-55863</t>
  </si>
  <si>
    <t xml:space="preserve">SALE-01195</t>
  </si>
  <si>
    <t xml:space="preserve">INV-49567</t>
  </si>
  <si>
    <t xml:space="preserve">SALE-01196</t>
  </si>
  <si>
    <t xml:space="preserve">INV-77385</t>
  </si>
  <si>
    <t xml:space="preserve">SALE-01197</t>
  </si>
  <si>
    <t xml:space="preserve">INV-23058</t>
  </si>
  <si>
    <t xml:space="preserve">SALE-01198</t>
  </si>
  <si>
    <t xml:space="preserve">INV-48482</t>
  </si>
  <si>
    <t xml:space="preserve">SALE-01199</t>
  </si>
  <si>
    <t xml:space="preserve">INV-70978</t>
  </si>
  <si>
    <t xml:space="preserve">SALE-01200</t>
  </si>
  <si>
    <t xml:space="preserve">INV-77144</t>
  </si>
  <si>
    <t xml:space="preserve">SALE-01201</t>
  </si>
  <si>
    <t xml:space="preserve">INV-32650</t>
  </si>
  <si>
    <t xml:space="preserve">SALE-01202</t>
  </si>
  <si>
    <t xml:space="preserve">INV-58103</t>
  </si>
  <si>
    <t xml:space="preserve">SALE-01203</t>
  </si>
  <si>
    <t xml:space="preserve">INV-39151</t>
  </si>
  <si>
    <t xml:space="preserve">SALE-01204</t>
  </si>
  <si>
    <t xml:space="preserve">INV-76679</t>
  </si>
  <si>
    <t xml:space="preserve">SALE-01205</t>
  </si>
  <si>
    <t xml:space="preserve">INV-30512</t>
  </si>
  <si>
    <t xml:space="preserve">SALE-01206</t>
  </si>
  <si>
    <t xml:space="preserve">INV-28701</t>
  </si>
  <si>
    <t xml:space="preserve">SALE-01207</t>
  </si>
  <si>
    <t xml:space="preserve">INV-32105</t>
  </si>
  <si>
    <t xml:space="preserve">SALE-01208</t>
  </si>
  <si>
    <t xml:space="preserve">INV-75243</t>
  </si>
  <si>
    <t xml:space="preserve">SALE-01209</t>
  </si>
  <si>
    <t xml:space="preserve">INV-27898</t>
  </si>
  <si>
    <t xml:space="preserve">SALE-01210</t>
  </si>
  <si>
    <t xml:space="preserve">INV-66147</t>
  </si>
  <si>
    <t xml:space="preserve">SALE-01211</t>
  </si>
  <si>
    <t xml:space="preserve">INV-49736</t>
  </si>
  <si>
    <t xml:space="preserve">SALE-01212</t>
  </si>
  <si>
    <t xml:space="preserve">INV-76427</t>
  </si>
  <si>
    <t xml:space="preserve">SALE-01213</t>
  </si>
  <si>
    <t xml:space="preserve">INV-37737</t>
  </si>
  <si>
    <t xml:space="preserve">SALE-01214</t>
  </si>
  <si>
    <t xml:space="preserve">INV-13392</t>
  </si>
  <si>
    <t xml:space="preserve">SALE-01215</t>
  </si>
  <si>
    <t xml:space="preserve">INV-45268</t>
  </si>
  <si>
    <t xml:space="preserve">SALE-01216</t>
  </si>
  <si>
    <t xml:space="preserve">INV-67132</t>
  </si>
  <si>
    <t xml:space="preserve">SALE-01217</t>
  </si>
  <si>
    <t xml:space="preserve">INV-68954</t>
  </si>
  <si>
    <t xml:space="preserve">SALE-01218</t>
  </si>
  <si>
    <t xml:space="preserve">INV-37895</t>
  </si>
  <si>
    <t xml:space="preserve">SALE-01219</t>
  </si>
  <si>
    <t xml:space="preserve">INV-23663</t>
  </si>
  <si>
    <t xml:space="preserve">SALE-01220</t>
  </si>
  <si>
    <t xml:space="preserve">INV-71102</t>
  </si>
  <si>
    <t xml:space="preserve">SALE-01221</t>
  </si>
  <si>
    <t xml:space="preserve">INV-44956</t>
  </si>
  <si>
    <t xml:space="preserve">SALE-01222</t>
  </si>
  <si>
    <t xml:space="preserve">INV-83257</t>
  </si>
  <si>
    <t xml:space="preserve">SALE-01223</t>
  </si>
  <si>
    <t xml:space="preserve">INV-44021</t>
  </si>
  <si>
    <t xml:space="preserve">SALE-01224</t>
  </si>
  <si>
    <t xml:space="preserve">INV-57378</t>
  </si>
  <si>
    <t xml:space="preserve">SALE-01225</t>
  </si>
  <si>
    <t xml:space="preserve">INV-70977</t>
  </si>
  <si>
    <t xml:space="preserve">SALE-01226</t>
  </si>
  <si>
    <t xml:space="preserve">INV-52410</t>
  </si>
  <si>
    <t xml:space="preserve">SALE-01227</t>
  </si>
  <si>
    <t xml:space="preserve">INV-43138</t>
  </si>
  <si>
    <t xml:space="preserve">SALE-01228</t>
  </si>
  <si>
    <t xml:space="preserve">INV-69879</t>
  </si>
  <si>
    <t xml:space="preserve">SALE-01229</t>
  </si>
  <si>
    <t xml:space="preserve">INV-17209</t>
  </si>
  <si>
    <t xml:space="preserve">SALE-01230</t>
  </si>
  <si>
    <t xml:space="preserve">INV-11452</t>
  </si>
  <si>
    <t xml:space="preserve">SALE-01231</t>
  </si>
  <si>
    <t xml:space="preserve">INV-76931</t>
  </si>
  <si>
    <t xml:space="preserve">SALE-01232</t>
  </si>
  <si>
    <t xml:space="preserve">INV-63952</t>
  </si>
  <si>
    <t xml:space="preserve">SALE-01233</t>
  </si>
  <si>
    <t xml:space="preserve">INV-82321</t>
  </si>
  <si>
    <t xml:space="preserve">SALE-01234</t>
  </si>
  <si>
    <t xml:space="preserve">INV-37525</t>
  </si>
  <si>
    <t xml:space="preserve">SALE-01235</t>
  </si>
  <si>
    <t xml:space="preserve">INV-19758</t>
  </si>
  <si>
    <t xml:space="preserve">SALE-01236</t>
  </si>
  <si>
    <t xml:space="preserve">INV-76983</t>
  </si>
  <si>
    <t xml:space="preserve">SALE-01237</t>
  </si>
  <si>
    <t xml:space="preserve">INV-30508</t>
  </si>
  <si>
    <t xml:space="preserve">SALE-01238</t>
  </si>
  <si>
    <t xml:space="preserve">INV-21966</t>
  </si>
  <si>
    <t xml:space="preserve">SALE-01239</t>
  </si>
  <si>
    <t xml:space="preserve">INV-43012</t>
  </si>
  <si>
    <t xml:space="preserve">SALE-01240</t>
  </si>
  <si>
    <t xml:space="preserve">INV-72001</t>
  </si>
  <si>
    <t xml:space="preserve">SALE-01241</t>
  </si>
  <si>
    <t xml:space="preserve">INV-32950</t>
  </si>
  <si>
    <t xml:space="preserve">SALE-01242</t>
  </si>
  <si>
    <t xml:space="preserve">INV-21294</t>
  </si>
  <si>
    <t xml:space="preserve">SALE-01243</t>
  </si>
  <si>
    <t xml:space="preserve">INV-64009</t>
  </si>
  <si>
    <t xml:space="preserve">SALE-01244</t>
  </si>
  <si>
    <t xml:space="preserve">INV-88296</t>
  </si>
  <si>
    <t xml:space="preserve">SALE-01245</t>
  </si>
  <si>
    <t xml:space="preserve">INV-89780</t>
  </si>
  <si>
    <t xml:space="preserve">SALE-01246</t>
  </si>
  <si>
    <t xml:space="preserve">INV-84806</t>
  </si>
  <si>
    <t xml:space="preserve">SALE-01247</t>
  </si>
  <si>
    <t xml:space="preserve">INV-47250</t>
  </si>
  <si>
    <t xml:space="preserve">SALE-01248</t>
  </si>
  <si>
    <t xml:space="preserve">INV-84816</t>
  </si>
  <si>
    <t xml:space="preserve">SALE-01249</t>
  </si>
  <si>
    <t xml:space="preserve">INV-82299</t>
  </si>
  <si>
    <t xml:space="preserve">SALE-01250</t>
  </si>
  <si>
    <t xml:space="preserve">INV-43410</t>
  </si>
  <si>
    <t xml:space="preserve">SALE-01251</t>
  </si>
  <si>
    <t xml:space="preserve">INV-87004</t>
  </si>
  <si>
    <t xml:space="preserve">SALE-01252</t>
  </si>
  <si>
    <t xml:space="preserve">INV-28212</t>
  </si>
  <si>
    <t xml:space="preserve">SALE-01253</t>
  </si>
  <si>
    <t xml:space="preserve">INV-14447</t>
  </si>
  <si>
    <t xml:space="preserve">SALE-01254</t>
  </si>
  <si>
    <t xml:space="preserve">INV-96832</t>
  </si>
  <si>
    <t xml:space="preserve">SALE-01255</t>
  </si>
  <si>
    <t xml:space="preserve">INV-76826</t>
  </si>
  <si>
    <t xml:space="preserve">SALE-01256</t>
  </si>
  <si>
    <t xml:space="preserve">INV-27192</t>
  </si>
  <si>
    <t xml:space="preserve">SALE-01257</t>
  </si>
  <si>
    <t xml:space="preserve">INV-22926</t>
  </si>
  <si>
    <t xml:space="preserve">SALE-01258</t>
  </si>
  <si>
    <t xml:space="preserve">INV-17952</t>
  </si>
  <si>
    <t xml:space="preserve">SALE-01259</t>
  </si>
  <si>
    <t xml:space="preserve">INV-93844</t>
  </si>
  <si>
    <t xml:space="preserve">SALE-01260</t>
  </si>
  <si>
    <t xml:space="preserve">INV-24490</t>
  </si>
  <si>
    <t xml:space="preserve">SALE-01261</t>
  </si>
  <si>
    <t xml:space="preserve">INV-49245</t>
  </si>
  <si>
    <t xml:space="preserve">SALE-01262</t>
  </si>
  <si>
    <t xml:space="preserve">INV-89670</t>
  </si>
  <si>
    <t xml:space="preserve">SALE-01263</t>
  </si>
  <si>
    <t xml:space="preserve">INV-23051</t>
  </si>
  <si>
    <t xml:space="preserve">SALE-01264</t>
  </si>
  <si>
    <t xml:space="preserve">INV-67970</t>
  </si>
  <si>
    <t xml:space="preserve">SALE-01265</t>
  </si>
  <si>
    <t xml:space="preserve">INV-37858</t>
  </si>
  <si>
    <t xml:space="preserve">SALE-01266</t>
  </si>
  <si>
    <t xml:space="preserve">INV-77552</t>
  </si>
  <si>
    <t xml:space="preserve">SALE-01267</t>
  </si>
  <si>
    <t xml:space="preserve">INV-86538</t>
  </si>
  <si>
    <t xml:space="preserve">SALE-01268</t>
  </si>
  <si>
    <t xml:space="preserve">INV-67734</t>
  </si>
  <si>
    <t xml:space="preserve">SALE-01269</t>
  </si>
  <si>
    <t xml:space="preserve">INV-23517</t>
  </si>
  <si>
    <t xml:space="preserve">SALE-01270</t>
  </si>
  <si>
    <t xml:space="preserve">INV-38065</t>
  </si>
  <si>
    <t xml:space="preserve">SALE-01271</t>
  </si>
  <si>
    <t xml:space="preserve">INV-92988</t>
  </si>
  <si>
    <t xml:space="preserve">SALE-01272</t>
  </si>
  <si>
    <t xml:space="preserve">INV-59320</t>
  </si>
  <si>
    <t xml:space="preserve">SALE-01273</t>
  </si>
  <si>
    <t xml:space="preserve">INV-62354</t>
  </si>
  <si>
    <t xml:space="preserve">SALE-01274</t>
  </si>
  <si>
    <t xml:space="preserve">INV-21828</t>
  </si>
  <si>
    <t xml:space="preserve">SALE-01275</t>
  </si>
  <si>
    <t xml:space="preserve">INV-95233</t>
  </si>
  <si>
    <t xml:space="preserve">SALE-01276</t>
  </si>
  <si>
    <t xml:space="preserve">INV-42400</t>
  </si>
  <si>
    <t xml:space="preserve">SALE-01277</t>
  </si>
  <si>
    <t xml:space="preserve">INV-79020</t>
  </si>
  <si>
    <t xml:space="preserve">SALE-01278</t>
  </si>
  <si>
    <t xml:space="preserve">INV-50797</t>
  </si>
  <si>
    <t xml:space="preserve">SALE-01279</t>
  </si>
  <si>
    <t xml:space="preserve">INV-48546</t>
  </si>
  <si>
    <t xml:space="preserve">SALE-01280</t>
  </si>
  <si>
    <t xml:space="preserve">INV-32536</t>
  </si>
  <si>
    <t xml:space="preserve">SALE-01281</t>
  </si>
  <si>
    <t xml:space="preserve">INV-89689</t>
  </si>
  <si>
    <t xml:space="preserve">SALE-01282</t>
  </si>
  <si>
    <t xml:space="preserve">INV-88059</t>
  </si>
  <si>
    <t xml:space="preserve">SALE-01283</t>
  </si>
  <si>
    <t xml:space="preserve">INV-99502</t>
  </si>
  <si>
    <t xml:space="preserve">SALE-01284</t>
  </si>
  <si>
    <t xml:space="preserve">INV-87243</t>
  </si>
  <si>
    <t xml:space="preserve">SALE-01285</t>
  </si>
  <si>
    <t xml:space="preserve">INV-71921</t>
  </si>
  <si>
    <t xml:space="preserve">SALE-01286</t>
  </si>
  <si>
    <t xml:space="preserve">INV-66508</t>
  </si>
  <si>
    <t xml:space="preserve">SALE-01287</t>
  </si>
  <si>
    <t xml:space="preserve">INV-99294</t>
  </si>
  <si>
    <t xml:space="preserve">SALE-01288</t>
  </si>
  <si>
    <t xml:space="preserve">INV-10624</t>
  </si>
  <si>
    <t xml:space="preserve">SALE-01289</t>
  </si>
  <si>
    <t xml:space="preserve">INV-40675</t>
  </si>
  <si>
    <t xml:space="preserve">SALE-01290</t>
  </si>
  <si>
    <t xml:space="preserve">INV-46286</t>
  </si>
  <si>
    <t xml:space="preserve">SALE-01291</t>
  </si>
  <si>
    <t xml:space="preserve">INV-91424</t>
  </si>
  <si>
    <t xml:space="preserve">SALE-01292</t>
  </si>
  <si>
    <t xml:space="preserve">INV-90656</t>
  </si>
  <si>
    <t xml:space="preserve">SALE-01293</t>
  </si>
  <si>
    <t xml:space="preserve">INV-45535</t>
  </si>
  <si>
    <t xml:space="preserve">SALE-01294</t>
  </si>
  <si>
    <t xml:space="preserve">INV-69942</t>
  </si>
  <si>
    <t xml:space="preserve">SALE-01295</t>
  </si>
  <si>
    <t xml:space="preserve">INV-53118</t>
  </si>
  <si>
    <t xml:space="preserve">SALE-01296</t>
  </si>
  <si>
    <t xml:space="preserve">INV-79794</t>
  </si>
  <si>
    <t xml:space="preserve">SALE-01297</t>
  </si>
  <si>
    <t xml:space="preserve">INV-90974</t>
  </si>
  <si>
    <t xml:space="preserve">SALE-01298</t>
  </si>
  <si>
    <t xml:space="preserve">INV-47639</t>
  </si>
  <si>
    <t xml:space="preserve">SALE-01299</t>
  </si>
  <si>
    <t xml:space="preserve">INV-63599</t>
  </si>
  <si>
    <t xml:space="preserve">SALE-01300</t>
  </si>
  <si>
    <t xml:space="preserve">INV-55609</t>
  </si>
  <si>
    <t xml:space="preserve">SALE-01301</t>
  </si>
  <si>
    <t xml:space="preserve">INV-48508</t>
  </si>
  <si>
    <t xml:space="preserve">SALE-01302</t>
  </si>
  <si>
    <t xml:space="preserve">INV-52218</t>
  </si>
  <si>
    <t xml:space="preserve">SALE-01303</t>
  </si>
  <si>
    <t xml:space="preserve">INV-74266</t>
  </si>
  <si>
    <t xml:space="preserve">SALE-01304</t>
  </si>
  <si>
    <t xml:space="preserve">INV-70437</t>
  </si>
  <si>
    <t xml:space="preserve">SALE-01305</t>
  </si>
  <si>
    <t xml:space="preserve">INV-10385</t>
  </si>
  <si>
    <t xml:space="preserve">SALE-01306</t>
  </si>
  <si>
    <t xml:space="preserve">INV-47781</t>
  </si>
  <si>
    <t xml:space="preserve">SALE-01307</t>
  </si>
  <si>
    <t xml:space="preserve">INV-31609</t>
  </si>
  <si>
    <t xml:space="preserve">SALE-01308</t>
  </si>
  <si>
    <t xml:space="preserve">INV-73527</t>
  </si>
  <si>
    <t xml:space="preserve">SALE-01309</t>
  </si>
  <si>
    <t xml:space="preserve">INV-69267</t>
  </si>
  <si>
    <t xml:space="preserve">SALE-01310</t>
  </si>
  <si>
    <t xml:space="preserve">INV-35000</t>
  </si>
  <si>
    <t xml:space="preserve">SALE-01311</t>
  </si>
  <si>
    <t xml:space="preserve">INV-77626</t>
  </si>
  <si>
    <t xml:space="preserve">SALE-01312</t>
  </si>
  <si>
    <t xml:space="preserve">INV-43791</t>
  </si>
  <si>
    <t xml:space="preserve">SALE-01313</t>
  </si>
  <si>
    <t xml:space="preserve">INV-89292</t>
  </si>
  <si>
    <t xml:space="preserve">SALE-01314</t>
  </si>
  <si>
    <t xml:space="preserve">INV-17219</t>
  </si>
  <si>
    <t xml:space="preserve">SALE-01315</t>
  </si>
  <si>
    <t xml:space="preserve">INV-53880</t>
  </si>
  <si>
    <t xml:space="preserve">SALE-01316</t>
  </si>
  <si>
    <t xml:space="preserve">INV-65052</t>
  </si>
  <si>
    <t xml:space="preserve">SALE-01317</t>
  </si>
  <si>
    <t xml:space="preserve">INV-17689</t>
  </si>
  <si>
    <t xml:space="preserve">SALE-01318</t>
  </si>
  <si>
    <t xml:space="preserve">INV-72073</t>
  </si>
  <si>
    <t xml:space="preserve">SALE-01319</t>
  </si>
  <si>
    <t xml:space="preserve">INV-63481</t>
  </si>
  <si>
    <t xml:space="preserve">SALE-01320</t>
  </si>
  <si>
    <t xml:space="preserve">INV-12706</t>
  </si>
  <si>
    <t xml:space="preserve">SALE-01321</t>
  </si>
  <si>
    <t xml:space="preserve">INV-51338</t>
  </si>
  <si>
    <t xml:space="preserve">SALE-01322</t>
  </si>
  <si>
    <t xml:space="preserve">INV-12320</t>
  </si>
  <si>
    <t xml:space="preserve">SALE-01323</t>
  </si>
  <si>
    <t xml:space="preserve">INV-79799</t>
  </si>
  <si>
    <t xml:space="preserve">SALE-01324</t>
  </si>
  <si>
    <t xml:space="preserve">INV-65376</t>
  </si>
  <si>
    <t xml:space="preserve">SALE-01325</t>
  </si>
  <si>
    <t xml:space="preserve">INV-14546</t>
  </si>
  <si>
    <t xml:space="preserve">SALE-01326</t>
  </si>
  <si>
    <t xml:space="preserve">INV-14953</t>
  </si>
  <si>
    <t xml:space="preserve">SALE-01327</t>
  </si>
  <si>
    <t xml:space="preserve">INV-70676</t>
  </si>
  <si>
    <t xml:space="preserve">SALE-01328</t>
  </si>
  <si>
    <t xml:space="preserve">INV-23879</t>
  </si>
  <si>
    <t xml:space="preserve">SALE-01329</t>
  </si>
  <si>
    <t xml:space="preserve">INV-43240</t>
  </si>
  <si>
    <t xml:space="preserve">SALE-01330</t>
  </si>
  <si>
    <t xml:space="preserve">INV-23689</t>
  </si>
  <si>
    <t xml:space="preserve">SALE-01331</t>
  </si>
  <si>
    <t xml:space="preserve">INV-91304</t>
  </si>
  <si>
    <t xml:space="preserve">SALE-01332</t>
  </si>
  <si>
    <t xml:space="preserve">INV-52513</t>
  </si>
  <si>
    <t xml:space="preserve">SALE-01333</t>
  </si>
  <si>
    <t xml:space="preserve">INV-13763</t>
  </si>
  <si>
    <t xml:space="preserve">SALE-01334</t>
  </si>
  <si>
    <t xml:space="preserve">INV-94606</t>
  </si>
  <si>
    <t xml:space="preserve">SALE-01335</t>
  </si>
  <si>
    <t xml:space="preserve">INV-60756</t>
  </si>
  <si>
    <t xml:space="preserve">SALE-01336</t>
  </si>
  <si>
    <t xml:space="preserve">INV-72629</t>
  </si>
  <si>
    <t xml:space="preserve">SALE-01337</t>
  </si>
  <si>
    <t xml:space="preserve">INV-16256</t>
  </si>
  <si>
    <t xml:space="preserve">SALE-01338</t>
  </si>
  <si>
    <t xml:space="preserve">INV-78664</t>
  </si>
  <si>
    <t xml:space="preserve">SALE-01339</t>
  </si>
  <si>
    <t xml:space="preserve">INV-85837</t>
  </si>
  <si>
    <t xml:space="preserve">SALE-01340</t>
  </si>
  <si>
    <t xml:space="preserve">INV-54490</t>
  </si>
  <si>
    <t xml:space="preserve">SALE-01341</t>
  </si>
  <si>
    <t xml:space="preserve">INV-77572</t>
  </si>
  <si>
    <t xml:space="preserve">SALE-01342</t>
  </si>
  <si>
    <t xml:space="preserve">INV-71108</t>
  </si>
  <si>
    <t xml:space="preserve">SALE-01343</t>
  </si>
  <si>
    <t xml:space="preserve">INV-71207</t>
  </si>
  <si>
    <t xml:space="preserve">SALE-01344</t>
  </si>
  <si>
    <t xml:space="preserve">INV-65098</t>
  </si>
  <si>
    <t xml:space="preserve">SALE-01345</t>
  </si>
  <si>
    <t xml:space="preserve">INV-38019</t>
  </si>
  <si>
    <t xml:space="preserve">SALE-01346</t>
  </si>
  <si>
    <t xml:space="preserve">INV-42936</t>
  </si>
  <si>
    <t xml:space="preserve">SALE-01347</t>
  </si>
  <si>
    <t xml:space="preserve">INV-53542</t>
  </si>
  <si>
    <t xml:space="preserve">SALE-01348</t>
  </si>
  <si>
    <t xml:space="preserve">INV-84885</t>
  </si>
  <si>
    <t xml:space="preserve">SALE-01349</t>
  </si>
  <si>
    <t xml:space="preserve">INV-13483</t>
  </si>
  <si>
    <t xml:space="preserve">SALE-01350</t>
  </si>
  <si>
    <t xml:space="preserve">INV-79242</t>
  </si>
  <si>
    <t xml:space="preserve">SALE-01351</t>
  </si>
  <si>
    <t xml:space="preserve">INV-63417</t>
  </si>
  <si>
    <t xml:space="preserve">SALE-01352</t>
  </si>
  <si>
    <t xml:space="preserve">INV-24094</t>
  </si>
  <si>
    <t xml:space="preserve">SALE-01353</t>
  </si>
  <si>
    <t xml:space="preserve">INV-40890</t>
  </si>
  <si>
    <t xml:space="preserve">SALE-01354</t>
  </si>
  <si>
    <t xml:space="preserve">INV-12209</t>
  </si>
  <si>
    <t xml:space="preserve">SALE-01355</t>
  </si>
  <si>
    <t xml:space="preserve">SALE-01356</t>
  </si>
  <si>
    <t xml:space="preserve">INV-99524</t>
  </si>
  <si>
    <t xml:space="preserve">SALE-01357</t>
  </si>
  <si>
    <t xml:space="preserve">INV-40751</t>
  </si>
  <si>
    <t xml:space="preserve">SALE-01358</t>
  </si>
  <si>
    <t xml:space="preserve">INV-11644</t>
  </si>
  <si>
    <t xml:space="preserve">SALE-01359</t>
  </si>
  <si>
    <t xml:space="preserve">INV-85821</t>
  </si>
  <si>
    <t xml:space="preserve">SALE-01360</t>
  </si>
  <si>
    <t xml:space="preserve">INV-28970</t>
  </si>
  <si>
    <t xml:space="preserve">SALE-01361</t>
  </si>
  <si>
    <t xml:space="preserve">INV-44828</t>
  </si>
  <si>
    <t xml:space="preserve">SALE-01362</t>
  </si>
  <si>
    <t xml:space="preserve">INV-66406</t>
  </si>
  <si>
    <t xml:space="preserve">SALE-01363</t>
  </si>
  <si>
    <t xml:space="preserve">INV-47973</t>
  </si>
  <si>
    <t xml:space="preserve">SALE-01364</t>
  </si>
  <si>
    <t xml:space="preserve">INV-57587</t>
  </si>
  <si>
    <t xml:space="preserve">SALE-01365</t>
  </si>
  <si>
    <t xml:space="preserve">INV-31057</t>
  </si>
  <si>
    <t xml:space="preserve">SALE-01366</t>
  </si>
  <si>
    <t xml:space="preserve">INV-67213</t>
  </si>
  <si>
    <t xml:space="preserve">SALE-01367</t>
  </si>
  <si>
    <t xml:space="preserve">INV-97133</t>
  </si>
  <si>
    <t xml:space="preserve">SALE-01368</t>
  </si>
  <si>
    <t xml:space="preserve">INV-42963</t>
  </si>
  <si>
    <t xml:space="preserve">SALE-01369</t>
  </si>
  <si>
    <t xml:space="preserve">INV-51254</t>
  </si>
  <si>
    <t xml:space="preserve">SALE-01370</t>
  </si>
  <si>
    <t xml:space="preserve">INV-86859</t>
  </si>
  <si>
    <t xml:space="preserve">SALE-01371</t>
  </si>
  <si>
    <t xml:space="preserve">INV-21023</t>
  </si>
  <si>
    <t xml:space="preserve">SALE-01372</t>
  </si>
  <si>
    <t xml:space="preserve">INV-32669</t>
  </si>
  <si>
    <t xml:space="preserve">SALE-01373</t>
  </si>
  <si>
    <t xml:space="preserve">INV-62592</t>
  </si>
  <si>
    <t xml:space="preserve">SALE-01374</t>
  </si>
  <si>
    <t xml:space="preserve">INV-62468</t>
  </si>
  <si>
    <t xml:space="preserve">SALE-01375</t>
  </si>
  <si>
    <t xml:space="preserve">INV-15406</t>
  </si>
  <si>
    <t xml:space="preserve">SALE-01376</t>
  </si>
  <si>
    <t xml:space="preserve">INV-34073</t>
  </si>
  <si>
    <t xml:space="preserve">SALE-01377</t>
  </si>
  <si>
    <t xml:space="preserve">INV-95851</t>
  </si>
  <si>
    <t xml:space="preserve">SALE-01378</t>
  </si>
  <si>
    <t xml:space="preserve">INV-89807</t>
  </si>
  <si>
    <t xml:space="preserve">SALE-01379</t>
  </si>
  <si>
    <t xml:space="preserve">INV-35798</t>
  </si>
  <si>
    <t xml:space="preserve">SALE-01380</t>
  </si>
  <si>
    <t xml:space="preserve">INV-91949</t>
  </si>
  <si>
    <t xml:space="preserve">SALE-01381</t>
  </si>
  <si>
    <t xml:space="preserve">INV-54852</t>
  </si>
  <si>
    <t xml:space="preserve">SALE-01382</t>
  </si>
  <si>
    <t xml:space="preserve">INV-98001</t>
  </si>
  <si>
    <t xml:space="preserve">SALE-01383</t>
  </si>
  <si>
    <t xml:space="preserve">INV-83276</t>
  </si>
  <si>
    <t xml:space="preserve">SALE-01384</t>
  </si>
  <si>
    <t xml:space="preserve">INV-39952</t>
  </si>
  <si>
    <t xml:space="preserve">SALE-01385</t>
  </si>
  <si>
    <t xml:space="preserve">INV-81600</t>
  </si>
  <si>
    <t xml:space="preserve">SALE-01386</t>
  </si>
  <si>
    <t xml:space="preserve">INV-25846</t>
  </si>
  <si>
    <t xml:space="preserve">SALE-01387</t>
  </si>
  <si>
    <t xml:space="preserve">INV-21086</t>
  </si>
  <si>
    <t xml:space="preserve">SALE-01388</t>
  </si>
  <si>
    <t xml:space="preserve">INV-85190</t>
  </si>
  <si>
    <t xml:space="preserve">SALE-01389</t>
  </si>
  <si>
    <t xml:space="preserve">INV-99337</t>
  </si>
  <si>
    <t xml:space="preserve">SALE-01390</t>
  </si>
  <si>
    <t xml:space="preserve">INV-17874</t>
  </si>
  <si>
    <t xml:space="preserve">SALE-01391</t>
  </si>
  <si>
    <t xml:space="preserve">INV-91994</t>
  </si>
  <si>
    <t xml:space="preserve">SALE-01392</t>
  </si>
  <si>
    <t xml:space="preserve">INV-13269</t>
  </si>
  <si>
    <t xml:space="preserve">SALE-01393</t>
  </si>
  <si>
    <t xml:space="preserve">INV-49966</t>
  </si>
  <si>
    <t xml:space="preserve">SALE-01394</t>
  </si>
  <si>
    <t xml:space="preserve">INV-21917</t>
  </si>
  <si>
    <t xml:space="preserve">SALE-01395</t>
  </si>
  <si>
    <t xml:space="preserve">INV-58129</t>
  </si>
  <si>
    <t xml:space="preserve">SALE-01396</t>
  </si>
  <si>
    <t xml:space="preserve">INV-14527</t>
  </si>
  <si>
    <t xml:space="preserve">SALE-01397</t>
  </si>
  <si>
    <t xml:space="preserve">INV-52975</t>
  </si>
  <si>
    <t xml:space="preserve">SALE-01398</t>
  </si>
  <si>
    <t xml:space="preserve">INV-65833</t>
  </si>
  <si>
    <t xml:space="preserve">SALE-01399</t>
  </si>
  <si>
    <t xml:space="preserve">INV-45412</t>
  </si>
  <si>
    <t xml:space="preserve">SALE-01400</t>
  </si>
  <si>
    <t xml:space="preserve">INV-41678</t>
  </si>
  <si>
    <t xml:space="preserve">SALE-01401</t>
  </si>
  <si>
    <t xml:space="preserve">INV-45624</t>
  </si>
  <si>
    <t xml:space="preserve">SALE-01402</t>
  </si>
  <si>
    <t xml:space="preserve">INV-22476</t>
  </si>
  <si>
    <t xml:space="preserve">SALE-01403</t>
  </si>
  <si>
    <t xml:space="preserve">INV-16319</t>
  </si>
  <si>
    <t xml:space="preserve">SALE-01404</t>
  </si>
  <si>
    <t xml:space="preserve">INV-50741</t>
  </si>
  <si>
    <t xml:space="preserve">SALE-01405</t>
  </si>
  <si>
    <t xml:space="preserve">INV-51422</t>
  </si>
  <si>
    <t xml:space="preserve">SALE-01406</t>
  </si>
  <si>
    <t xml:space="preserve">INV-33662</t>
  </si>
  <si>
    <t xml:space="preserve">SALE-01407</t>
  </si>
  <si>
    <t xml:space="preserve">INV-80149</t>
  </si>
  <si>
    <t xml:space="preserve">SALE-01408</t>
  </si>
  <si>
    <t xml:space="preserve">INV-24724</t>
  </si>
  <si>
    <t xml:space="preserve">SALE-01409</t>
  </si>
  <si>
    <t xml:space="preserve">INV-46014</t>
  </si>
  <si>
    <t xml:space="preserve">SALE-01410</t>
  </si>
  <si>
    <t xml:space="preserve">INV-44995</t>
  </si>
  <si>
    <t xml:space="preserve">SALE-01411</t>
  </si>
  <si>
    <t xml:space="preserve">INV-11872</t>
  </si>
  <si>
    <t xml:space="preserve">SALE-01412</t>
  </si>
  <si>
    <t xml:space="preserve">INV-25113</t>
  </si>
  <si>
    <t xml:space="preserve">SALE-01413</t>
  </si>
  <si>
    <t xml:space="preserve">INV-52015</t>
  </si>
  <si>
    <t xml:space="preserve">SALE-01414</t>
  </si>
  <si>
    <t xml:space="preserve">INV-17442</t>
  </si>
  <si>
    <t xml:space="preserve">SALE-01415</t>
  </si>
  <si>
    <t xml:space="preserve">INV-83475</t>
  </si>
  <si>
    <t xml:space="preserve">SALE-01416</t>
  </si>
  <si>
    <t xml:space="preserve">INV-71099</t>
  </si>
  <si>
    <t xml:space="preserve">SALE-01417</t>
  </si>
  <si>
    <t xml:space="preserve">INV-22639</t>
  </si>
  <si>
    <t xml:space="preserve">SALE-01418</t>
  </si>
  <si>
    <t xml:space="preserve">INV-61739</t>
  </si>
  <si>
    <t xml:space="preserve">SALE-01419</t>
  </si>
  <si>
    <t xml:space="preserve">INV-28585</t>
  </si>
  <si>
    <t xml:space="preserve">SALE-01420</t>
  </si>
  <si>
    <t xml:space="preserve">INV-15145</t>
  </si>
  <si>
    <t xml:space="preserve">SALE-01421</t>
  </si>
  <si>
    <t xml:space="preserve">INV-48587</t>
  </si>
  <si>
    <t xml:space="preserve">SALE-01422</t>
  </si>
  <si>
    <t xml:space="preserve">INV-54871</t>
  </si>
  <si>
    <t xml:space="preserve">SALE-01423</t>
  </si>
  <si>
    <t xml:space="preserve">INV-73762</t>
  </si>
  <si>
    <t xml:space="preserve">SALE-01424</t>
  </si>
  <si>
    <t xml:space="preserve">INV-89447</t>
  </si>
  <si>
    <t xml:space="preserve">SALE-01425</t>
  </si>
  <si>
    <t xml:space="preserve">INV-72317</t>
  </si>
  <si>
    <t xml:space="preserve">SALE-01426</t>
  </si>
  <si>
    <t xml:space="preserve">INV-94778</t>
  </si>
  <si>
    <t xml:space="preserve">SALE-01427</t>
  </si>
  <si>
    <t xml:space="preserve">INV-77030</t>
  </si>
  <si>
    <t xml:space="preserve">SALE-01428</t>
  </si>
  <si>
    <t xml:space="preserve">INV-86845</t>
  </si>
  <si>
    <t xml:space="preserve">SALE-01429</t>
  </si>
  <si>
    <t xml:space="preserve">INV-32552</t>
  </si>
  <si>
    <t xml:space="preserve">SALE-01430</t>
  </si>
  <si>
    <t xml:space="preserve">INV-37606</t>
  </si>
  <si>
    <t xml:space="preserve">SALE-01431</t>
  </si>
  <si>
    <t xml:space="preserve">INV-74376</t>
  </si>
  <si>
    <t xml:space="preserve">SALE-01432</t>
  </si>
  <si>
    <t xml:space="preserve">INV-92429</t>
  </si>
  <si>
    <t xml:space="preserve">SALE-01433</t>
  </si>
  <si>
    <t xml:space="preserve">INV-49901</t>
  </si>
  <si>
    <t xml:space="preserve">SALE-01434</t>
  </si>
  <si>
    <t xml:space="preserve">INV-68682</t>
  </si>
  <si>
    <t xml:space="preserve">SALE-01435</t>
  </si>
  <si>
    <t xml:space="preserve">INV-94039</t>
  </si>
  <si>
    <t xml:space="preserve">SALE-01436</t>
  </si>
  <si>
    <t xml:space="preserve">SALE-01437</t>
  </si>
  <si>
    <t xml:space="preserve">INV-30402</t>
  </si>
  <si>
    <t xml:space="preserve">SALE-01438</t>
  </si>
  <si>
    <t xml:space="preserve">INV-12046</t>
  </si>
  <si>
    <t xml:space="preserve">SALE-01439</t>
  </si>
  <si>
    <t xml:space="preserve">INV-50641</t>
  </si>
  <si>
    <t xml:space="preserve">SALE-01440</t>
  </si>
  <si>
    <t xml:space="preserve">INV-40447</t>
  </si>
  <si>
    <t xml:space="preserve">SALE-01441</t>
  </si>
  <si>
    <t xml:space="preserve">INV-60854</t>
  </si>
  <si>
    <t xml:space="preserve">SALE-01442</t>
  </si>
  <si>
    <t xml:space="preserve">INV-61783</t>
  </si>
  <si>
    <t xml:space="preserve">SALE-01443</t>
  </si>
  <si>
    <t xml:space="preserve">INV-90735</t>
  </si>
  <si>
    <t xml:space="preserve">SALE-01444</t>
  </si>
  <si>
    <t xml:space="preserve">INV-78293</t>
  </si>
  <si>
    <t xml:space="preserve">SALE-01445</t>
  </si>
  <si>
    <t xml:space="preserve">INV-61216</t>
  </si>
  <si>
    <t xml:space="preserve">SALE-01446</t>
  </si>
  <si>
    <t xml:space="preserve">INV-49487</t>
  </si>
  <si>
    <t xml:space="preserve">SALE-01447</t>
  </si>
  <si>
    <t xml:space="preserve">INV-53877</t>
  </si>
  <si>
    <t xml:space="preserve">SALE-01448</t>
  </si>
  <si>
    <t xml:space="preserve">INV-19554</t>
  </si>
  <si>
    <t xml:space="preserve">SALE-01449</t>
  </si>
  <si>
    <t xml:space="preserve">INV-95230</t>
  </si>
  <si>
    <t xml:space="preserve">SALE-01450</t>
  </si>
  <si>
    <t xml:space="preserve">INV-98668</t>
  </si>
  <si>
    <t xml:space="preserve">SALE-01451</t>
  </si>
  <si>
    <t xml:space="preserve">INV-77870</t>
  </si>
  <si>
    <t xml:space="preserve">SALE-01452</t>
  </si>
  <si>
    <t xml:space="preserve">INV-96939</t>
  </si>
  <si>
    <t xml:space="preserve">SALE-01453</t>
  </si>
  <si>
    <t xml:space="preserve">INV-94383</t>
  </si>
  <si>
    <t xml:space="preserve">SALE-01454</t>
  </si>
  <si>
    <t xml:space="preserve">INV-94184</t>
  </si>
  <si>
    <t xml:space="preserve">SALE-01455</t>
  </si>
  <si>
    <t xml:space="preserve">INV-21312</t>
  </si>
  <si>
    <t xml:space="preserve">SALE-01456</t>
  </si>
  <si>
    <t xml:space="preserve">INV-52293</t>
  </si>
  <si>
    <t xml:space="preserve">SALE-01457</t>
  </si>
  <si>
    <t xml:space="preserve">INV-50251</t>
  </si>
  <si>
    <t xml:space="preserve">SALE-01458</t>
  </si>
  <si>
    <t xml:space="preserve">INV-90533</t>
  </si>
  <si>
    <t xml:space="preserve">SALE-01459</t>
  </si>
  <si>
    <t xml:space="preserve">INV-20868</t>
  </si>
  <si>
    <t xml:space="preserve">SALE-01460</t>
  </si>
  <si>
    <t xml:space="preserve">INV-92754</t>
  </si>
  <si>
    <t xml:space="preserve">SALE-01461</t>
  </si>
  <si>
    <t xml:space="preserve">INV-30083</t>
  </si>
  <si>
    <t xml:space="preserve">SALE-01462</t>
  </si>
  <si>
    <t xml:space="preserve">INV-36927</t>
  </si>
  <si>
    <t xml:space="preserve">SALE-01463</t>
  </si>
  <si>
    <t xml:space="preserve">INV-14207</t>
  </si>
  <si>
    <t xml:space="preserve">SALE-01464</t>
  </si>
  <si>
    <t xml:space="preserve">INV-16519</t>
  </si>
  <si>
    <t xml:space="preserve">SALE-01465</t>
  </si>
  <si>
    <t xml:space="preserve">INV-89791</t>
  </si>
  <si>
    <t xml:space="preserve">SALE-01466</t>
  </si>
  <si>
    <t xml:space="preserve">INV-84346</t>
  </si>
  <si>
    <t xml:space="preserve">SALE-01467</t>
  </si>
  <si>
    <t xml:space="preserve">INV-79378</t>
  </si>
  <si>
    <t xml:space="preserve">SALE-01468</t>
  </si>
  <si>
    <t xml:space="preserve">INV-89656</t>
  </si>
  <si>
    <t xml:space="preserve">SALE-01469</t>
  </si>
  <si>
    <t xml:space="preserve">INV-28915</t>
  </si>
  <si>
    <t xml:space="preserve">SALE-01470</t>
  </si>
  <si>
    <t xml:space="preserve">INV-95888</t>
  </si>
  <si>
    <t xml:space="preserve">SALE-01471</t>
  </si>
  <si>
    <t xml:space="preserve">INV-76552</t>
  </si>
  <si>
    <t xml:space="preserve">SALE-01472</t>
  </si>
  <si>
    <t xml:space="preserve">INV-44863</t>
  </si>
  <si>
    <t xml:space="preserve">SALE-01473</t>
  </si>
  <si>
    <t xml:space="preserve">INV-73120</t>
  </si>
  <si>
    <t xml:space="preserve">SALE-01474</t>
  </si>
  <si>
    <t xml:space="preserve">INV-43686</t>
  </si>
  <si>
    <t xml:space="preserve">SALE-01475</t>
  </si>
  <si>
    <t xml:space="preserve">INV-20020</t>
  </si>
  <si>
    <t xml:space="preserve">SALE-01476</t>
  </si>
  <si>
    <t xml:space="preserve">INV-56461</t>
  </si>
  <si>
    <t xml:space="preserve">SALE-01477</t>
  </si>
  <si>
    <t xml:space="preserve">INV-33045</t>
  </si>
  <si>
    <t xml:space="preserve">SALE-01478</t>
  </si>
  <si>
    <t xml:space="preserve">SALE-01479</t>
  </si>
  <si>
    <t xml:space="preserve">INV-99735</t>
  </si>
  <si>
    <t xml:space="preserve">SALE-01480</t>
  </si>
  <si>
    <t xml:space="preserve">INV-21330</t>
  </si>
  <si>
    <t xml:space="preserve">SALE-01481</t>
  </si>
  <si>
    <t xml:space="preserve">INV-59417</t>
  </si>
  <si>
    <t xml:space="preserve">SALE-01482</t>
  </si>
  <si>
    <t xml:space="preserve">INV-83706</t>
  </si>
  <si>
    <t xml:space="preserve">SALE-01483</t>
  </si>
  <si>
    <t xml:space="preserve">INV-50248</t>
  </si>
  <si>
    <t xml:space="preserve">SALE-01484</t>
  </si>
  <si>
    <t xml:space="preserve">INV-80789</t>
  </si>
  <si>
    <t xml:space="preserve">SALE-01485</t>
  </si>
  <si>
    <t xml:space="preserve">INV-54474</t>
  </si>
  <si>
    <t xml:space="preserve">SALE-01486</t>
  </si>
  <si>
    <t xml:space="preserve">INV-96043</t>
  </si>
  <si>
    <t xml:space="preserve">SALE-01487</t>
  </si>
  <si>
    <t xml:space="preserve">INV-58019</t>
  </si>
  <si>
    <t xml:space="preserve">SALE-01488</t>
  </si>
  <si>
    <t xml:space="preserve">INV-44288</t>
  </si>
  <si>
    <t xml:space="preserve">SALE-01489</t>
  </si>
  <si>
    <t xml:space="preserve">SALE-01490</t>
  </si>
  <si>
    <t xml:space="preserve">INV-51337</t>
  </si>
  <si>
    <t xml:space="preserve">SALE-01491</t>
  </si>
  <si>
    <t xml:space="preserve">INV-79847</t>
  </si>
  <si>
    <t xml:space="preserve">SALE-01492</t>
  </si>
  <si>
    <t xml:space="preserve">INV-91892</t>
  </si>
  <si>
    <t xml:space="preserve">SALE-01493</t>
  </si>
  <si>
    <t xml:space="preserve">INV-79187</t>
  </si>
  <si>
    <t xml:space="preserve">SALE-01494</t>
  </si>
  <si>
    <t xml:space="preserve">INV-81425</t>
  </si>
  <si>
    <t xml:space="preserve">SALE-01495</t>
  </si>
  <si>
    <t xml:space="preserve">INV-78601</t>
  </si>
  <si>
    <t xml:space="preserve">SALE-01496</t>
  </si>
  <si>
    <t xml:space="preserve">INV-29534</t>
  </si>
  <si>
    <t xml:space="preserve">SALE-01497</t>
  </si>
  <si>
    <t xml:space="preserve">INV-87803</t>
  </si>
  <si>
    <t xml:space="preserve">SALE-01498</t>
  </si>
  <si>
    <t xml:space="preserve">INV-58458</t>
  </si>
  <si>
    <t xml:space="preserve">SALE-01499</t>
  </si>
  <si>
    <t xml:space="preserve">INV-46715</t>
  </si>
  <si>
    <t xml:space="preserve">SALE-01500</t>
  </si>
  <si>
    <t xml:space="preserve">INV-67010</t>
  </si>
  <si>
    <t xml:space="preserve">SALE-01501</t>
  </si>
  <si>
    <t xml:space="preserve">INV-36408</t>
  </si>
  <si>
    <t xml:space="preserve">SALE-01502</t>
  </si>
  <si>
    <t xml:space="preserve">INV-66637</t>
  </si>
  <si>
    <t xml:space="preserve">SALE-01503</t>
  </si>
  <si>
    <t xml:space="preserve">INV-67477</t>
  </si>
  <si>
    <t xml:space="preserve">SALE-01504</t>
  </si>
  <si>
    <t xml:space="preserve">INV-25858</t>
  </si>
  <si>
    <t xml:space="preserve">SALE-01505</t>
  </si>
  <si>
    <t xml:space="preserve">INV-22035</t>
  </si>
  <si>
    <t xml:space="preserve">SALE-01506</t>
  </si>
  <si>
    <t xml:space="preserve">INV-14571</t>
  </si>
  <si>
    <t xml:space="preserve">SALE-01507</t>
  </si>
  <si>
    <t xml:space="preserve">INV-33660</t>
  </si>
  <si>
    <t xml:space="preserve">SALE-01508</t>
  </si>
  <si>
    <t xml:space="preserve">INV-43854</t>
  </si>
  <si>
    <t xml:space="preserve">SALE-01509</t>
  </si>
  <si>
    <t xml:space="preserve">INV-31678</t>
  </si>
  <si>
    <t xml:space="preserve">SALE-01510</t>
  </si>
  <si>
    <t xml:space="preserve">INV-23793</t>
  </si>
  <si>
    <t xml:space="preserve">SALE-01511</t>
  </si>
  <si>
    <t xml:space="preserve">INV-85211</t>
  </si>
  <si>
    <t xml:space="preserve">SALE-01512</t>
  </si>
  <si>
    <t xml:space="preserve">INV-29228</t>
  </si>
  <si>
    <t xml:space="preserve">SALE-01513</t>
  </si>
  <si>
    <t xml:space="preserve">INV-76926</t>
  </si>
  <si>
    <t xml:space="preserve">SALE-01514</t>
  </si>
  <si>
    <t xml:space="preserve">INV-71913</t>
  </si>
  <si>
    <t xml:space="preserve">SALE-01515</t>
  </si>
  <si>
    <t xml:space="preserve">INV-91208</t>
  </si>
  <si>
    <t xml:space="preserve">SALE-01516</t>
  </si>
  <si>
    <t xml:space="preserve">INV-31904</t>
  </si>
  <si>
    <t xml:space="preserve">SALE-01517</t>
  </si>
  <si>
    <t xml:space="preserve">INV-10632</t>
  </si>
  <si>
    <t xml:space="preserve">SALE-01518</t>
  </si>
  <si>
    <t xml:space="preserve">INV-64961</t>
  </si>
  <si>
    <t xml:space="preserve">SALE-01519</t>
  </si>
  <si>
    <t xml:space="preserve">INV-95434</t>
  </si>
  <si>
    <t xml:space="preserve">SALE-01520</t>
  </si>
  <si>
    <t xml:space="preserve">INV-96690</t>
  </si>
  <si>
    <t xml:space="preserve">SALE-01521</t>
  </si>
  <si>
    <t xml:space="preserve">SALE-01522</t>
  </si>
  <si>
    <t xml:space="preserve">INV-64707</t>
  </si>
  <si>
    <t xml:space="preserve">SALE-01523</t>
  </si>
  <si>
    <t xml:space="preserve">INV-52805</t>
  </si>
  <si>
    <t xml:space="preserve">SALE-01524</t>
  </si>
  <si>
    <t xml:space="preserve">INV-43748</t>
  </si>
  <si>
    <t xml:space="preserve">SALE-01525</t>
  </si>
  <si>
    <t xml:space="preserve">INV-14515</t>
  </si>
  <si>
    <t xml:space="preserve">SALE-01526</t>
  </si>
  <si>
    <t xml:space="preserve">INV-13485</t>
  </si>
  <si>
    <t xml:space="preserve">SALE-01527</t>
  </si>
  <si>
    <t xml:space="preserve">INV-95377</t>
  </si>
  <si>
    <t xml:space="preserve">SALE-01528</t>
  </si>
  <si>
    <t xml:space="preserve">INV-86618</t>
  </si>
  <si>
    <t xml:space="preserve">SALE-01529</t>
  </si>
  <si>
    <t xml:space="preserve">INV-10054</t>
  </si>
  <si>
    <t xml:space="preserve">SALE-01530</t>
  </si>
  <si>
    <t xml:space="preserve">INV-14681</t>
  </si>
  <si>
    <t xml:space="preserve">SALE-01531</t>
  </si>
  <si>
    <t xml:space="preserve">INV-64214</t>
  </si>
  <si>
    <t xml:space="preserve">SALE-01532</t>
  </si>
  <si>
    <t xml:space="preserve">INV-86955</t>
  </si>
  <si>
    <t xml:space="preserve">SALE-01533</t>
  </si>
  <si>
    <t xml:space="preserve">INV-12786</t>
  </si>
  <si>
    <t xml:space="preserve">SALE-01534</t>
  </si>
  <si>
    <t xml:space="preserve">INV-79921</t>
  </si>
  <si>
    <t xml:space="preserve">SALE-01535</t>
  </si>
  <si>
    <t xml:space="preserve">INV-67245</t>
  </si>
  <si>
    <t xml:space="preserve">SALE-01536</t>
  </si>
  <si>
    <t xml:space="preserve">INV-58672</t>
  </si>
  <si>
    <t xml:space="preserve">SALE-01537</t>
  </si>
  <si>
    <t xml:space="preserve">INV-94639</t>
  </si>
  <si>
    <t xml:space="preserve">SALE-01538</t>
  </si>
  <si>
    <t xml:space="preserve">INV-93172</t>
  </si>
  <si>
    <t xml:space="preserve">SALE-01539</t>
  </si>
  <si>
    <t xml:space="preserve">INV-58093</t>
  </si>
  <si>
    <t xml:space="preserve">SALE-01540</t>
  </si>
  <si>
    <t xml:space="preserve">INV-81567</t>
  </si>
  <si>
    <t xml:space="preserve">SALE-01541</t>
  </si>
  <si>
    <t xml:space="preserve">INV-40351</t>
  </si>
  <si>
    <t xml:space="preserve">SALE-01542</t>
  </si>
  <si>
    <t xml:space="preserve">INV-84783</t>
  </si>
  <si>
    <t xml:space="preserve">SALE-01543</t>
  </si>
  <si>
    <t xml:space="preserve">INV-15715</t>
  </si>
  <si>
    <t xml:space="preserve">SALE-01544</t>
  </si>
  <si>
    <t xml:space="preserve">INV-34669</t>
  </si>
  <si>
    <t xml:space="preserve">SALE-01545</t>
  </si>
  <si>
    <t xml:space="preserve">INV-13364</t>
  </si>
  <si>
    <t xml:space="preserve">SALE-01546</t>
  </si>
  <si>
    <t xml:space="preserve">INV-82066</t>
  </si>
  <si>
    <t xml:space="preserve">SALE-01547</t>
  </si>
  <si>
    <t xml:space="preserve">INV-70971</t>
  </si>
  <si>
    <t xml:space="preserve">SALE-01548</t>
  </si>
  <si>
    <t xml:space="preserve">SALE-01549</t>
  </si>
  <si>
    <t xml:space="preserve">INV-38602</t>
  </si>
  <si>
    <t xml:space="preserve">SALE-01550</t>
  </si>
  <si>
    <t xml:space="preserve">INV-60587</t>
  </si>
  <si>
    <t xml:space="preserve">SALE-01551</t>
  </si>
  <si>
    <t xml:space="preserve">INV-39761</t>
  </si>
  <si>
    <t xml:space="preserve">SALE-01552</t>
  </si>
  <si>
    <t xml:space="preserve">INV-71619</t>
  </si>
  <si>
    <t xml:space="preserve">SALE-01553</t>
  </si>
  <si>
    <t xml:space="preserve">INV-72628</t>
  </si>
  <si>
    <t xml:space="preserve">SALE-01554</t>
  </si>
  <si>
    <t xml:space="preserve">INV-12008</t>
  </si>
  <si>
    <t xml:space="preserve">SALE-01555</t>
  </si>
  <si>
    <t xml:space="preserve">INV-69002</t>
  </si>
  <si>
    <t xml:space="preserve">SALE-01556</t>
  </si>
  <si>
    <t xml:space="preserve">INV-84992</t>
  </si>
  <si>
    <t xml:space="preserve">SALE-01557</t>
  </si>
  <si>
    <t xml:space="preserve">INV-71342</t>
  </si>
  <si>
    <t xml:space="preserve">SALE-01558</t>
  </si>
  <si>
    <t xml:space="preserve">INV-76787</t>
  </si>
  <si>
    <t xml:space="preserve">SALE-01559</t>
  </si>
  <si>
    <t xml:space="preserve">INV-64847</t>
  </si>
  <si>
    <t xml:space="preserve">SALE-01560</t>
  </si>
  <si>
    <t xml:space="preserve">INV-11373</t>
  </si>
  <si>
    <t xml:space="preserve">SALE-01561</t>
  </si>
  <si>
    <t xml:space="preserve">INV-39271</t>
  </si>
  <si>
    <t xml:space="preserve">SALE-01562</t>
  </si>
  <si>
    <t xml:space="preserve">INV-66692</t>
  </si>
  <si>
    <t xml:space="preserve">SALE-01563</t>
  </si>
  <si>
    <t xml:space="preserve">INV-29892</t>
  </si>
  <si>
    <t xml:space="preserve">SALE-01564</t>
  </si>
  <si>
    <t xml:space="preserve">INV-37490</t>
  </si>
  <si>
    <t xml:space="preserve">SALE-01565</t>
  </si>
  <si>
    <t xml:space="preserve">INV-90779</t>
  </si>
  <si>
    <t xml:space="preserve">SALE-01566</t>
  </si>
  <si>
    <t xml:space="preserve">INV-64884</t>
  </si>
  <si>
    <t xml:space="preserve">SALE-01567</t>
  </si>
  <si>
    <t xml:space="preserve">INV-10203</t>
  </si>
  <si>
    <t xml:space="preserve">SALE-01568</t>
  </si>
  <si>
    <t xml:space="preserve">INV-75007</t>
  </si>
  <si>
    <t xml:space="preserve">SALE-01569</t>
  </si>
  <si>
    <t xml:space="preserve">INV-73432</t>
  </si>
  <si>
    <t xml:space="preserve">SALE-01570</t>
  </si>
  <si>
    <t xml:space="preserve">INV-63835</t>
  </si>
  <si>
    <t xml:space="preserve">SALE-01571</t>
  </si>
  <si>
    <t xml:space="preserve">INV-13459</t>
  </si>
  <si>
    <t xml:space="preserve">SALE-01572</t>
  </si>
  <si>
    <t xml:space="preserve">INV-21338</t>
  </si>
  <si>
    <t xml:space="preserve">SALE-01573</t>
  </si>
  <si>
    <t xml:space="preserve">INV-49297</t>
  </si>
  <si>
    <t xml:space="preserve">SALE-01574</t>
  </si>
  <si>
    <t xml:space="preserve">INV-48922</t>
  </si>
  <si>
    <t xml:space="preserve">SALE-01575</t>
  </si>
  <si>
    <t xml:space="preserve">INV-86722</t>
  </si>
  <si>
    <t xml:space="preserve">SALE-01576</t>
  </si>
  <si>
    <t xml:space="preserve">INV-97351</t>
  </si>
  <si>
    <t xml:space="preserve">SALE-01577</t>
  </si>
  <si>
    <t xml:space="preserve">INV-56844</t>
  </si>
  <si>
    <t xml:space="preserve">SALE-01578</t>
  </si>
  <si>
    <t xml:space="preserve">INV-18269</t>
  </si>
  <si>
    <t xml:space="preserve">SALE-01579</t>
  </si>
  <si>
    <t xml:space="preserve">INV-68956</t>
  </si>
  <si>
    <t xml:space="preserve">SALE-01580</t>
  </si>
  <si>
    <t xml:space="preserve">INV-49357</t>
  </si>
  <si>
    <t xml:space="preserve">SALE-01581</t>
  </si>
  <si>
    <t xml:space="preserve">INV-31293</t>
  </si>
  <si>
    <t xml:space="preserve">SALE-01582</t>
  </si>
  <si>
    <t xml:space="preserve">INV-98951</t>
  </si>
  <si>
    <t xml:space="preserve">SALE-01583</t>
  </si>
  <si>
    <t xml:space="preserve">INV-57897</t>
  </si>
  <si>
    <t xml:space="preserve">SALE-01584</t>
  </si>
  <si>
    <t xml:space="preserve">INV-24132</t>
  </si>
  <si>
    <t xml:space="preserve">SALE-01585</t>
  </si>
  <si>
    <t xml:space="preserve">INV-24304</t>
  </si>
  <si>
    <t xml:space="preserve">SALE-01586</t>
  </si>
  <si>
    <t xml:space="preserve">INV-88990</t>
  </si>
  <si>
    <t xml:space="preserve">SALE-01587</t>
  </si>
  <si>
    <t xml:space="preserve">INV-96333</t>
  </si>
  <si>
    <t xml:space="preserve">SALE-01588</t>
  </si>
  <si>
    <t xml:space="preserve">INV-52774</t>
  </si>
  <si>
    <t xml:space="preserve">SALE-01589</t>
  </si>
  <si>
    <t xml:space="preserve">INV-25954</t>
  </si>
  <si>
    <t xml:space="preserve">SALE-01590</t>
  </si>
  <si>
    <t xml:space="preserve">INV-42108</t>
  </si>
  <si>
    <t xml:space="preserve">SALE-01591</t>
  </si>
  <si>
    <t xml:space="preserve">INV-93921</t>
  </si>
  <si>
    <t xml:space="preserve">SALE-01592</t>
  </si>
  <si>
    <t xml:space="preserve">INV-21763</t>
  </si>
  <si>
    <t xml:space="preserve">SALE-01593</t>
  </si>
  <si>
    <t xml:space="preserve">INV-20399</t>
  </si>
  <si>
    <t xml:space="preserve">SALE-01594</t>
  </si>
  <si>
    <t xml:space="preserve">INV-15668</t>
  </si>
  <si>
    <t xml:space="preserve">SALE-01595</t>
  </si>
  <si>
    <t xml:space="preserve">INV-74205</t>
  </si>
  <si>
    <t xml:space="preserve">SALE-01596</t>
  </si>
  <si>
    <t xml:space="preserve">INV-46151</t>
  </si>
  <si>
    <t xml:space="preserve">SALE-01597</t>
  </si>
  <si>
    <t xml:space="preserve">INV-18099</t>
  </si>
  <si>
    <t xml:space="preserve">SALE-01598</t>
  </si>
  <si>
    <t xml:space="preserve">INV-56418</t>
  </si>
  <si>
    <t xml:space="preserve">SALE-01599</t>
  </si>
  <si>
    <t xml:space="preserve">INV-23289</t>
  </si>
  <si>
    <t xml:space="preserve">SALE-01600</t>
  </si>
  <si>
    <t xml:space="preserve">INV-61014</t>
  </si>
  <si>
    <t xml:space="preserve">SALE-01601</t>
  </si>
  <si>
    <t xml:space="preserve">INV-56544</t>
  </si>
  <si>
    <t xml:space="preserve">SALE-01602</t>
  </si>
  <si>
    <t xml:space="preserve">INV-44813</t>
  </si>
  <si>
    <t xml:space="preserve">SALE-01603</t>
  </si>
  <si>
    <t xml:space="preserve">INV-67762</t>
  </si>
  <si>
    <t xml:space="preserve">SALE-01604</t>
  </si>
  <si>
    <t xml:space="preserve">INV-36550</t>
  </si>
  <si>
    <t xml:space="preserve">SALE-01605</t>
  </si>
  <si>
    <t xml:space="preserve">INV-33210</t>
  </si>
  <si>
    <t xml:space="preserve">SALE-01606</t>
  </si>
  <si>
    <t xml:space="preserve">INV-19408</t>
  </si>
  <si>
    <t xml:space="preserve">SALE-01607</t>
  </si>
  <si>
    <t xml:space="preserve">INV-40032</t>
  </si>
  <si>
    <t xml:space="preserve">SALE-01608</t>
  </si>
  <si>
    <t xml:space="preserve">INV-41481</t>
  </si>
  <si>
    <t xml:space="preserve">SALE-01609</t>
  </si>
  <si>
    <t xml:space="preserve">INV-92731</t>
  </si>
  <si>
    <t xml:space="preserve">SALE-01610</t>
  </si>
  <si>
    <t xml:space="preserve">INV-97614</t>
  </si>
  <si>
    <t xml:space="preserve">SALE-01611</t>
  </si>
  <si>
    <t xml:space="preserve">INV-71640</t>
  </si>
  <si>
    <t xml:space="preserve">SALE-01612</t>
  </si>
  <si>
    <t xml:space="preserve">INV-31135</t>
  </si>
  <si>
    <t xml:space="preserve">SALE-01613</t>
  </si>
  <si>
    <t xml:space="preserve">INV-37668</t>
  </si>
  <si>
    <t xml:space="preserve">SALE-01614</t>
  </si>
  <si>
    <t xml:space="preserve">INV-69415</t>
  </si>
  <si>
    <t xml:space="preserve">SALE-01615</t>
  </si>
  <si>
    <t xml:space="preserve">INV-43363</t>
  </si>
  <si>
    <t xml:space="preserve">SALE-01616</t>
  </si>
  <si>
    <t xml:space="preserve">INV-43039</t>
  </si>
  <si>
    <t xml:space="preserve">SALE-01617</t>
  </si>
  <si>
    <t xml:space="preserve">INV-33647</t>
  </si>
  <si>
    <t xml:space="preserve">SALE-01618</t>
  </si>
  <si>
    <t xml:space="preserve">INV-56761</t>
  </si>
  <si>
    <t xml:space="preserve">SALE-01619</t>
  </si>
  <si>
    <t xml:space="preserve">INV-72652</t>
  </si>
  <si>
    <t xml:space="preserve">SALE-01620</t>
  </si>
  <si>
    <t xml:space="preserve">INV-65287</t>
  </si>
  <si>
    <t xml:space="preserve">SALE-01621</t>
  </si>
  <si>
    <t xml:space="preserve">INV-89745</t>
  </si>
  <si>
    <t xml:space="preserve">SALE-01622</t>
  </si>
  <si>
    <t xml:space="preserve">INV-77227</t>
  </si>
  <si>
    <t xml:space="preserve">SALE-01623</t>
  </si>
  <si>
    <t xml:space="preserve">INV-68029</t>
  </si>
  <si>
    <t xml:space="preserve">SALE-01624</t>
  </si>
  <si>
    <t xml:space="preserve">INV-86912</t>
  </si>
  <si>
    <t xml:space="preserve">SALE-01625</t>
  </si>
  <si>
    <t xml:space="preserve">INV-79756</t>
  </si>
  <si>
    <t xml:space="preserve">SALE-01626</t>
  </si>
  <si>
    <t xml:space="preserve">INV-66039</t>
  </si>
  <si>
    <t xml:space="preserve">SALE-01627</t>
  </si>
  <si>
    <t xml:space="preserve">INV-15379</t>
  </si>
  <si>
    <t xml:space="preserve">SALE-01628</t>
  </si>
  <si>
    <t xml:space="preserve">INV-38798</t>
  </si>
  <si>
    <t xml:space="preserve">SALE-01629</t>
  </si>
  <si>
    <t xml:space="preserve">INV-39549</t>
  </si>
  <si>
    <t xml:space="preserve">SALE-01630</t>
  </si>
  <si>
    <t xml:space="preserve">INV-61049</t>
  </si>
  <si>
    <t xml:space="preserve">SALE-01631</t>
  </si>
  <si>
    <t xml:space="preserve">INV-83305</t>
  </si>
  <si>
    <t xml:space="preserve">SALE-01632</t>
  </si>
  <si>
    <t xml:space="preserve">INV-28668</t>
  </si>
  <si>
    <t xml:space="preserve">SALE-01633</t>
  </si>
  <si>
    <t xml:space="preserve">INV-23565</t>
  </si>
  <si>
    <t xml:space="preserve">SALE-01634</t>
  </si>
  <si>
    <t xml:space="preserve">INV-75478</t>
  </si>
  <si>
    <t xml:space="preserve">SALE-01635</t>
  </si>
  <si>
    <t xml:space="preserve">INV-27324</t>
  </si>
  <si>
    <t xml:space="preserve">SALE-01636</t>
  </si>
  <si>
    <t xml:space="preserve">INV-42250</t>
  </si>
  <si>
    <t xml:space="preserve">SALE-01637</t>
  </si>
  <si>
    <t xml:space="preserve">INV-13009</t>
  </si>
  <si>
    <t xml:space="preserve">SALE-01638</t>
  </si>
  <si>
    <t xml:space="preserve">INV-72183</t>
  </si>
  <si>
    <t xml:space="preserve">SALE-01639</t>
  </si>
  <si>
    <t xml:space="preserve">INV-22317</t>
  </si>
  <si>
    <t xml:space="preserve">SALE-01640</t>
  </si>
  <si>
    <t xml:space="preserve">INV-61054</t>
  </si>
  <si>
    <t xml:space="preserve">SALE-01641</t>
  </si>
  <si>
    <t xml:space="preserve">INV-65348</t>
  </si>
  <si>
    <t xml:space="preserve">SALE-01642</t>
  </si>
  <si>
    <t xml:space="preserve">INV-84191</t>
  </si>
  <si>
    <t xml:space="preserve">SALE-01643</t>
  </si>
  <si>
    <t xml:space="preserve">INV-76387</t>
  </si>
  <si>
    <t xml:space="preserve">SALE-01644</t>
  </si>
  <si>
    <t xml:space="preserve">INV-45182</t>
  </si>
  <si>
    <t xml:space="preserve">SALE-01645</t>
  </si>
  <si>
    <t xml:space="preserve">INV-78874</t>
  </si>
  <si>
    <t xml:space="preserve">SALE-01646</t>
  </si>
  <si>
    <t xml:space="preserve">INV-79947</t>
  </si>
  <si>
    <t xml:space="preserve">SALE-01647</t>
  </si>
  <si>
    <t xml:space="preserve">INV-87695</t>
  </si>
  <si>
    <t xml:space="preserve">SALE-01648</t>
  </si>
  <si>
    <t xml:space="preserve">INV-89741</t>
  </si>
  <si>
    <t xml:space="preserve">SALE-01649</t>
  </si>
  <si>
    <t xml:space="preserve">INV-76930</t>
  </si>
  <si>
    <t xml:space="preserve">SALE-01650</t>
  </si>
  <si>
    <t xml:space="preserve">INV-62324</t>
  </si>
  <si>
    <t xml:space="preserve">SALE-01651</t>
  </si>
  <si>
    <t xml:space="preserve">INV-72270</t>
  </si>
  <si>
    <t xml:space="preserve">SALE-01652</t>
  </si>
  <si>
    <t xml:space="preserve">INV-44765</t>
  </si>
  <si>
    <t xml:space="preserve">SALE-01653</t>
  </si>
  <si>
    <t xml:space="preserve">INV-28427</t>
  </si>
  <si>
    <t xml:space="preserve">SALE-01654</t>
  </si>
  <si>
    <t xml:space="preserve">INV-47138</t>
  </si>
  <si>
    <t xml:space="preserve">SALE-01655</t>
  </si>
  <si>
    <t xml:space="preserve">INV-36453</t>
  </si>
  <si>
    <t xml:space="preserve">SALE-01656</t>
  </si>
  <si>
    <t xml:space="preserve">INV-81686</t>
  </si>
  <si>
    <t xml:space="preserve">SALE-01657</t>
  </si>
  <si>
    <t xml:space="preserve">INV-14418</t>
  </si>
  <si>
    <t xml:space="preserve">SALE-01658</t>
  </si>
  <si>
    <t xml:space="preserve">INV-21262</t>
  </si>
  <si>
    <t xml:space="preserve">SALE-01659</t>
  </si>
  <si>
    <t xml:space="preserve">INV-83253</t>
  </si>
  <si>
    <t xml:space="preserve">SALE-01660</t>
  </si>
  <si>
    <t xml:space="preserve">INV-50038</t>
  </si>
  <si>
    <t xml:space="preserve">SALE-01661</t>
  </si>
  <si>
    <t xml:space="preserve">INV-52469</t>
  </si>
  <si>
    <t xml:space="preserve">SALE-01662</t>
  </si>
  <si>
    <t xml:space="preserve">INV-42478</t>
  </si>
  <si>
    <t xml:space="preserve">SALE-01663</t>
  </si>
  <si>
    <t xml:space="preserve">INV-21456</t>
  </si>
  <si>
    <t xml:space="preserve">SALE-01664</t>
  </si>
  <si>
    <t xml:space="preserve">INV-53022</t>
  </si>
  <si>
    <t xml:space="preserve">SALE-01665</t>
  </si>
  <si>
    <t xml:space="preserve">INV-49774</t>
  </si>
  <si>
    <t xml:space="preserve">SALE-01666</t>
  </si>
  <si>
    <t xml:space="preserve">INV-16340</t>
  </si>
  <si>
    <t xml:space="preserve">SALE-01667</t>
  </si>
  <si>
    <t xml:space="preserve">INV-48606</t>
  </si>
  <si>
    <t xml:space="preserve">SALE-01668</t>
  </si>
  <si>
    <t xml:space="preserve">INV-54671</t>
  </si>
  <si>
    <t xml:space="preserve">SALE-01669</t>
  </si>
  <si>
    <t xml:space="preserve">INV-82174</t>
  </si>
  <si>
    <t xml:space="preserve">SALE-01670</t>
  </si>
  <si>
    <t xml:space="preserve">INV-95562</t>
  </si>
  <si>
    <t xml:space="preserve">SALE-01671</t>
  </si>
  <si>
    <t xml:space="preserve">INV-14922</t>
  </si>
  <si>
    <t xml:space="preserve">SALE-01672</t>
  </si>
  <si>
    <t xml:space="preserve">INV-92525</t>
  </si>
  <si>
    <t xml:space="preserve">SALE-01673</t>
  </si>
  <si>
    <t xml:space="preserve">INV-90868</t>
  </si>
  <si>
    <t xml:space="preserve">SALE-01674</t>
  </si>
  <si>
    <t xml:space="preserve">INV-41255</t>
  </si>
  <si>
    <t xml:space="preserve">SALE-01675</t>
  </si>
  <si>
    <t xml:space="preserve">INV-83061</t>
  </si>
  <si>
    <t xml:space="preserve">SALE-01676</t>
  </si>
  <si>
    <t xml:space="preserve">INV-63055</t>
  </si>
  <si>
    <t xml:space="preserve">SALE-01677</t>
  </si>
  <si>
    <t xml:space="preserve">INV-29080</t>
  </si>
  <si>
    <t xml:space="preserve">SALE-01678</t>
  </si>
  <si>
    <t xml:space="preserve">INV-57653</t>
  </si>
  <si>
    <t xml:space="preserve">SALE-01679</t>
  </si>
  <si>
    <t xml:space="preserve">INV-14740</t>
  </si>
  <si>
    <t xml:space="preserve">SALE-01680</t>
  </si>
  <si>
    <t xml:space="preserve">INV-78401</t>
  </si>
  <si>
    <t xml:space="preserve">SALE-01681</t>
  </si>
  <si>
    <t xml:space="preserve">INV-76179</t>
  </si>
  <si>
    <t xml:space="preserve">SALE-01682</t>
  </si>
  <si>
    <t xml:space="preserve">INV-74209</t>
  </si>
  <si>
    <t xml:space="preserve">SALE-01683</t>
  </si>
  <si>
    <t xml:space="preserve">INV-24398</t>
  </si>
  <si>
    <t xml:space="preserve">SALE-01684</t>
  </si>
  <si>
    <t xml:space="preserve">INV-48260</t>
  </si>
  <si>
    <t xml:space="preserve">SALE-01685</t>
  </si>
  <si>
    <t xml:space="preserve">INV-18725</t>
  </si>
  <si>
    <t xml:space="preserve">SALE-01686</t>
  </si>
  <si>
    <t xml:space="preserve">INV-23822</t>
  </si>
  <si>
    <t xml:space="preserve">SALE-01687</t>
  </si>
  <si>
    <t xml:space="preserve">INV-31157</t>
  </si>
  <si>
    <t xml:space="preserve">SALE-01688</t>
  </si>
  <si>
    <t xml:space="preserve">INV-60731</t>
  </si>
  <si>
    <t xml:space="preserve">SALE-01689</t>
  </si>
  <si>
    <t xml:space="preserve">INV-82728</t>
  </si>
  <si>
    <t xml:space="preserve">SALE-01690</t>
  </si>
  <si>
    <t xml:space="preserve">INV-59787</t>
  </si>
  <si>
    <t xml:space="preserve">SALE-01691</t>
  </si>
  <si>
    <t xml:space="preserve">INV-28753</t>
  </si>
  <si>
    <t xml:space="preserve">SALE-01692</t>
  </si>
  <si>
    <t xml:space="preserve">INV-78796</t>
  </si>
  <si>
    <t xml:space="preserve">SALE-01693</t>
  </si>
  <si>
    <t xml:space="preserve">INV-71406</t>
  </si>
  <si>
    <t xml:space="preserve">SALE-01694</t>
  </si>
  <si>
    <t xml:space="preserve">INV-65326</t>
  </si>
  <si>
    <t xml:space="preserve">SALE-01695</t>
  </si>
  <si>
    <t xml:space="preserve">INV-76350</t>
  </si>
  <si>
    <t xml:space="preserve">SALE-01696</t>
  </si>
  <si>
    <t xml:space="preserve">INV-60504</t>
  </si>
  <si>
    <t xml:space="preserve">SALE-01697</t>
  </si>
  <si>
    <t xml:space="preserve">INV-95489</t>
  </si>
  <si>
    <t xml:space="preserve">SALE-01698</t>
  </si>
  <si>
    <t xml:space="preserve">INV-18552</t>
  </si>
  <si>
    <t xml:space="preserve">SALE-01699</t>
  </si>
  <si>
    <t xml:space="preserve">INV-40572</t>
  </si>
  <si>
    <t xml:space="preserve">SALE-01700</t>
  </si>
  <si>
    <t xml:space="preserve">INV-72152</t>
  </si>
  <si>
    <t xml:space="preserve">SALE-01701</t>
  </si>
  <si>
    <t xml:space="preserve">INV-76509</t>
  </si>
  <si>
    <t xml:space="preserve">SALE-01702</t>
  </si>
  <si>
    <t xml:space="preserve">INV-86846</t>
  </si>
  <si>
    <t xml:space="preserve">SALE-01703</t>
  </si>
  <si>
    <t xml:space="preserve">INV-33139</t>
  </si>
  <si>
    <t xml:space="preserve">SALE-01704</t>
  </si>
  <si>
    <t xml:space="preserve">INV-58342</t>
  </si>
  <si>
    <t xml:space="preserve">SALE-01705</t>
  </si>
  <si>
    <t xml:space="preserve">INV-10635</t>
  </si>
  <si>
    <t xml:space="preserve">SALE-01706</t>
  </si>
  <si>
    <t xml:space="preserve">SALE-01707</t>
  </si>
  <si>
    <t xml:space="preserve">INV-70266</t>
  </si>
  <si>
    <t xml:space="preserve">SALE-01708</t>
  </si>
  <si>
    <t xml:space="preserve">INV-20206</t>
  </si>
  <si>
    <t xml:space="preserve">SALE-01709</t>
  </si>
  <si>
    <t xml:space="preserve">INV-20006</t>
  </si>
  <si>
    <t xml:space="preserve">SALE-01710</t>
  </si>
  <si>
    <t xml:space="preserve">INV-24486</t>
  </si>
  <si>
    <t xml:space="preserve">SALE-01711</t>
  </si>
  <si>
    <t xml:space="preserve">INV-19406</t>
  </si>
  <si>
    <t xml:space="preserve">SALE-01712</t>
  </si>
  <si>
    <t xml:space="preserve">INV-47949</t>
  </si>
  <si>
    <t xml:space="preserve">SALE-01713</t>
  </si>
  <si>
    <t xml:space="preserve">INV-18064</t>
  </si>
  <si>
    <t xml:space="preserve">SALE-01714</t>
  </si>
  <si>
    <t xml:space="preserve">INV-39320</t>
  </si>
  <si>
    <t xml:space="preserve">SALE-01715</t>
  </si>
  <si>
    <t xml:space="preserve">INV-99041</t>
  </si>
  <si>
    <t xml:space="preserve">SALE-01716</t>
  </si>
  <si>
    <t xml:space="preserve">INV-15856</t>
  </si>
  <si>
    <t xml:space="preserve">SALE-01717</t>
  </si>
  <si>
    <t xml:space="preserve">INV-58797</t>
  </si>
  <si>
    <t xml:space="preserve">SALE-01718</t>
  </si>
  <si>
    <t xml:space="preserve">INV-68190</t>
  </si>
  <si>
    <t xml:space="preserve">SALE-01719</t>
  </si>
  <si>
    <t xml:space="preserve">INV-36371</t>
  </si>
  <si>
    <t xml:space="preserve">SALE-01720</t>
  </si>
  <si>
    <t xml:space="preserve">INV-55750</t>
  </si>
  <si>
    <t xml:space="preserve">SALE-01721</t>
  </si>
  <si>
    <t xml:space="preserve">INV-98144</t>
  </si>
  <si>
    <t xml:space="preserve">SALE-01722</t>
  </si>
  <si>
    <t xml:space="preserve">INV-43607</t>
  </si>
  <si>
    <t xml:space="preserve">SALE-01723</t>
  </si>
  <si>
    <t xml:space="preserve">INV-84684</t>
  </si>
  <si>
    <t xml:space="preserve">SALE-01724</t>
  </si>
  <si>
    <t xml:space="preserve">INV-17476</t>
  </si>
  <si>
    <t xml:space="preserve">SALE-01725</t>
  </si>
  <si>
    <t xml:space="preserve">INV-41622</t>
  </si>
  <si>
    <t xml:space="preserve">SALE-01726</t>
  </si>
  <si>
    <t xml:space="preserve">INV-60807</t>
  </si>
  <si>
    <t xml:space="preserve">SALE-01727</t>
  </si>
  <si>
    <t xml:space="preserve">INV-18824</t>
  </si>
  <si>
    <t xml:space="preserve">SALE-01728</t>
  </si>
  <si>
    <t xml:space="preserve">INV-34975</t>
  </si>
  <si>
    <t xml:space="preserve">SALE-01729</t>
  </si>
  <si>
    <t xml:space="preserve">INV-95776</t>
  </si>
  <si>
    <t xml:space="preserve">SALE-01730</t>
  </si>
  <si>
    <t xml:space="preserve">INV-92967</t>
  </si>
  <si>
    <t xml:space="preserve">SALE-01731</t>
  </si>
  <si>
    <t xml:space="preserve">INV-57952</t>
  </si>
  <si>
    <t xml:space="preserve">SALE-01732</t>
  </si>
  <si>
    <t xml:space="preserve">INV-31286</t>
  </si>
  <si>
    <t xml:space="preserve">SALE-01733</t>
  </si>
  <si>
    <t xml:space="preserve">INV-72855</t>
  </si>
  <si>
    <t xml:space="preserve">SALE-01734</t>
  </si>
  <si>
    <t xml:space="preserve">INV-33683</t>
  </si>
  <si>
    <t xml:space="preserve">SALE-01735</t>
  </si>
  <si>
    <t xml:space="preserve">INV-67907</t>
  </si>
  <si>
    <t xml:space="preserve">SALE-01736</t>
  </si>
  <si>
    <t xml:space="preserve">INV-55883</t>
  </si>
  <si>
    <t xml:space="preserve">SALE-01737</t>
  </si>
  <si>
    <t xml:space="preserve">INV-93261</t>
  </si>
  <si>
    <t xml:space="preserve">SALE-01738</t>
  </si>
  <si>
    <t xml:space="preserve">INV-75881</t>
  </si>
  <si>
    <t xml:space="preserve">SALE-01739</t>
  </si>
  <si>
    <t xml:space="preserve">INV-54632</t>
  </si>
  <si>
    <t xml:space="preserve">SALE-01740</t>
  </si>
  <si>
    <t xml:space="preserve">INV-34130</t>
  </si>
  <si>
    <t xml:space="preserve">SALE-01741</t>
  </si>
  <si>
    <t xml:space="preserve">INV-12549</t>
  </si>
  <si>
    <t xml:space="preserve">SALE-01742</t>
  </si>
  <si>
    <t xml:space="preserve">INV-55151</t>
  </si>
  <si>
    <t xml:space="preserve">SALE-01743</t>
  </si>
  <si>
    <t xml:space="preserve">INV-61949</t>
  </si>
  <si>
    <t xml:space="preserve">SALE-01744</t>
  </si>
  <si>
    <t xml:space="preserve">INV-45904</t>
  </si>
  <si>
    <t xml:space="preserve">SALE-01745</t>
  </si>
  <si>
    <t xml:space="preserve">INV-99804</t>
  </si>
  <si>
    <t xml:space="preserve">SALE-01746</t>
  </si>
  <si>
    <t xml:space="preserve">INV-37377</t>
  </si>
  <si>
    <t xml:space="preserve">SALE-01747</t>
  </si>
  <si>
    <t xml:space="preserve">INV-49839</t>
  </si>
  <si>
    <t xml:space="preserve">SALE-01748</t>
  </si>
  <si>
    <t xml:space="preserve">INV-61685</t>
  </si>
  <si>
    <t xml:space="preserve">SALE-01749</t>
  </si>
  <si>
    <t xml:space="preserve">INV-45340</t>
  </si>
  <si>
    <t xml:space="preserve">SALE-01750</t>
  </si>
  <si>
    <t xml:space="preserve">INV-90117</t>
  </si>
  <si>
    <t xml:space="preserve">SALE-01751</t>
  </si>
  <si>
    <t xml:space="preserve">INV-62456</t>
  </si>
  <si>
    <t xml:space="preserve">SALE-01752</t>
  </si>
  <si>
    <t xml:space="preserve">INV-27294</t>
  </si>
  <si>
    <t xml:space="preserve">SALE-01753</t>
  </si>
  <si>
    <t xml:space="preserve">INV-11335</t>
  </si>
  <si>
    <t xml:space="preserve">SALE-01754</t>
  </si>
  <si>
    <t xml:space="preserve">INV-71829</t>
  </si>
  <si>
    <t xml:space="preserve">SALE-01755</t>
  </si>
  <si>
    <t xml:space="preserve">INV-30572</t>
  </si>
  <si>
    <t xml:space="preserve">SALE-01756</t>
  </si>
  <si>
    <t xml:space="preserve">INV-23633</t>
  </si>
  <si>
    <t xml:space="preserve">SALE-01757</t>
  </si>
  <si>
    <t xml:space="preserve">INV-18854</t>
  </si>
  <si>
    <t xml:space="preserve">SALE-01758</t>
  </si>
  <si>
    <t xml:space="preserve">INV-28832</t>
  </si>
  <si>
    <t xml:space="preserve">SALE-01759</t>
  </si>
  <si>
    <t xml:space="preserve">INV-11689</t>
  </si>
  <si>
    <t xml:space="preserve">SALE-01760</t>
  </si>
  <si>
    <t xml:space="preserve">INV-77803</t>
  </si>
  <si>
    <t xml:space="preserve">SALE-01761</t>
  </si>
  <si>
    <t xml:space="preserve">INV-49564</t>
  </si>
  <si>
    <t xml:space="preserve">SALE-01762</t>
  </si>
  <si>
    <t xml:space="preserve">INV-87908</t>
  </si>
  <si>
    <t xml:space="preserve">SALE-01763</t>
  </si>
  <si>
    <t xml:space="preserve">INV-47606</t>
  </si>
  <si>
    <t xml:space="preserve">SALE-01764</t>
  </si>
  <si>
    <t xml:space="preserve">SALE-01765</t>
  </si>
  <si>
    <t xml:space="preserve">INV-71115</t>
  </si>
  <si>
    <t xml:space="preserve">SALE-01766</t>
  </si>
  <si>
    <t xml:space="preserve">INV-61381</t>
  </si>
  <si>
    <t xml:space="preserve">SALE-01767</t>
  </si>
  <si>
    <t xml:space="preserve">INV-62030</t>
  </si>
  <si>
    <t xml:space="preserve">SALE-01768</t>
  </si>
  <si>
    <t xml:space="preserve">INV-52878</t>
  </si>
  <si>
    <t xml:space="preserve">SALE-01769</t>
  </si>
  <si>
    <t xml:space="preserve">INV-69802</t>
  </si>
  <si>
    <t xml:space="preserve">SALE-01770</t>
  </si>
  <si>
    <t xml:space="preserve">INV-55209</t>
  </si>
  <si>
    <t xml:space="preserve">SALE-01771</t>
  </si>
  <si>
    <t xml:space="preserve">INV-16536</t>
  </si>
  <si>
    <t xml:space="preserve">SALE-01772</t>
  </si>
  <si>
    <t xml:space="preserve">INV-96464</t>
  </si>
  <si>
    <t xml:space="preserve">SALE-01773</t>
  </si>
  <si>
    <t xml:space="preserve">INV-87756</t>
  </si>
  <si>
    <t xml:space="preserve">SALE-01774</t>
  </si>
  <si>
    <t xml:space="preserve">INV-62413</t>
  </si>
  <si>
    <t xml:space="preserve">SALE-01775</t>
  </si>
  <si>
    <t xml:space="preserve">INV-89187</t>
  </si>
  <si>
    <t xml:space="preserve">SALE-01776</t>
  </si>
  <si>
    <t xml:space="preserve">INV-77815</t>
  </si>
  <si>
    <t xml:space="preserve">SALE-01777</t>
  </si>
  <si>
    <t xml:space="preserve">INV-83869</t>
  </si>
  <si>
    <t xml:space="preserve">SALE-01778</t>
  </si>
  <si>
    <t xml:space="preserve">INV-51841</t>
  </si>
  <si>
    <t xml:space="preserve">SALE-01779</t>
  </si>
  <si>
    <t xml:space="preserve">INV-25145</t>
  </si>
  <si>
    <t xml:space="preserve">SALE-01780</t>
  </si>
  <si>
    <t xml:space="preserve">INV-98884</t>
  </si>
  <si>
    <t xml:space="preserve">SALE-01781</t>
  </si>
  <si>
    <t xml:space="preserve">INV-90140</t>
  </si>
  <si>
    <t xml:space="preserve">SALE-01782</t>
  </si>
  <si>
    <t xml:space="preserve">INV-13552</t>
  </si>
  <si>
    <t xml:space="preserve">SALE-01783</t>
  </si>
  <si>
    <t xml:space="preserve">INV-18686</t>
  </si>
  <si>
    <t xml:space="preserve">SALE-01784</t>
  </si>
  <si>
    <t xml:space="preserve">INV-66915</t>
  </si>
  <si>
    <t xml:space="preserve">SALE-01785</t>
  </si>
  <si>
    <t xml:space="preserve">INV-52866</t>
  </si>
  <si>
    <t xml:space="preserve">SALE-01786</t>
  </si>
  <si>
    <t xml:space="preserve">INV-40648</t>
  </si>
  <si>
    <t xml:space="preserve">SALE-01787</t>
  </si>
  <si>
    <t xml:space="preserve">INV-71828</t>
  </si>
  <si>
    <t xml:space="preserve">SALE-01788</t>
  </si>
  <si>
    <t xml:space="preserve">INV-97278</t>
  </si>
  <si>
    <t xml:space="preserve">SALE-01789</t>
  </si>
  <si>
    <t xml:space="preserve">INV-75256</t>
  </si>
  <si>
    <t xml:space="preserve">SALE-01790</t>
  </si>
  <si>
    <t xml:space="preserve">INV-65755</t>
  </si>
  <si>
    <t xml:space="preserve">SALE-01791</t>
  </si>
  <si>
    <t xml:space="preserve">INV-78006</t>
  </si>
  <si>
    <t xml:space="preserve">SALE-01792</t>
  </si>
  <si>
    <t xml:space="preserve">INV-78273</t>
  </si>
  <si>
    <t xml:space="preserve">SALE-01793</t>
  </si>
  <si>
    <t xml:space="preserve">INV-38942</t>
  </si>
  <si>
    <t xml:space="preserve">SALE-01794</t>
  </si>
  <si>
    <t xml:space="preserve">INV-17006</t>
  </si>
  <si>
    <t xml:space="preserve">SALE-01795</t>
  </si>
  <si>
    <t xml:space="preserve">INV-63053</t>
  </si>
  <si>
    <t xml:space="preserve">SALE-01796</t>
  </si>
  <si>
    <t xml:space="preserve">INV-84082</t>
  </si>
  <si>
    <t xml:space="preserve">SALE-01797</t>
  </si>
  <si>
    <t xml:space="preserve">INV-78158</t>
  </si>
  <si>
    <t xml:space="preserve">SALE-01798</t>
  </si>
  <si>
    <t xml:space="preserve">INV-37362</t>
  </si>
  <si>
    <t xml:space="preserve">SALE-01799</t>
  </si>
  <si>
    <t xml:space="preserve">INV-27166</t>
  </si>
  <si>
    <t xml:space="preserve">SALE-01800</t>
  </si>
  <si>
    <t xml:space="preserve">INV-14352</t>
  </si>
  <si>
    <t xml:space="preserve">SALE-01801</t>
  </si>
  <si>
    <t xml:space="preserve">INV-54396</t>
  </si>
  <si>
    <t xml:space="preserve">SALE-01802</t>
  </si>
  <si>
    <t xml:space="preserve">INV-33374</t>
  </si>
  <si>
    <t xml:space="preserve">SALE-01803</t>
  </si>
  <si>
    <t xml:space="preserve">INV-34978</t>
  </si>
  <si>
    <t xml:space="preserve">SALE-01804</t>
  </si>
  <si>
    <t xml:space="preserve">INV-56616</t>
  </si>
  <si>
    <t xml:space="preserve">SALE-01805</t>
  </si>
  <si>
    <t xml:space="preserve">INV-56019</t>
  </si>
  <si>
    <t xml:space="preserve">SALE-01806</t>
  </si>
  <si>
    <t xml:space="preserve">INV-38442</t>
  </si>
  <si>
    <t xml:space="preserve">SALE-01807</t>
  </si>
  <si>
    <t xml:space="preserve">INV-99392</t>
  </si>
  <si>
    <t xml:space="preserve">SALE-01808</t>
  </si>
  <si>
    <t xml:space="preserve">INV-32352</t>
  </si>
  <si>
    <t xml:space="preserve">SALE-01809</t>
  </si>
  <si>
    <t xml:space="preserve">INV-37789</t>
  </si>
  <si>
    <t xml:space="preserve">SALE-01810</t>
  </si>
  <si>
    <t xml:space="preserve">INV-54837</t>
  </si>
  <si>
    <t xml:space="preserve">SALE-01811</t>
  </si>
  <si>
    <t xml:space="preserve">INV-99353</t>
  </si>
  <si>
    <t xml:space="preserve">SALE-01812</t>
  </si>
  <si>
    <t xml:space="preserve">INV-72129</t>
  </si>
  <si>
    <t xml:space="preserve">SALE-01813</t>
  </si>
  <si>
    <t xml:space="preserve">INV-75840</t>
  </si>
  <si>
    <t xml:space="preserve">SALE-01814</t>
  </si>
  <si>
    <t xml:space="preserve">INV-10459</t>
  </si>
  <si>
    <t xml:space="preserve">SALE-01815</t>
  </si>
  <si>
    <t xml:space="preserve">SALE-01816</t>
  </si>
  <si>
    <t xml:space="preserve">INV-54736</t>
  </si>
  <si>
    <t xml:space="preserve">SALE-01817</t>
  </si>
  <si>
    <t xml:space="preserve">SALE-01818</t>
  </si>
  <si>
    <t xml:space="preserve">INV-33610</t>
  </si>
  <si>
    <t xml:space="preserve">SALE-01819</t>
  </si>
  <si>
    <t xml:space="preserve">INV-31499</t>
  </si>
  <si>
    <t xml:space="preserve">SALE-01820</t>
  </si>
  <si>
    <t xml:space="preserve">INV-18222</t>
  </si>
  <si>
    <t xml:space="preserve">SALE-01821</t>
  </si>
  <si>
    <t xml:space="preserve">INV-46424</t>
  </si>
  <si>
    <t xml:space="preserve">SALE-01822</t>
  </si>
  <si>
    <t xml:space="preserve">INV-25896</t>
  </si>
  <si>
    <t xml:space="preserve">SALE-01823</t>
  </si>
  <si>
    <t xml:space="preserve">INV-44088</t>
  </si>
  <si>
    <t xml:space="preserve">SALE-01824</t>
  </si>
  <si>
    <t xml:space="preserve">INV-71663</t>
  </si>
  <si>
    <t xml:space="preserve">SALE-01825</t>
  </si>
  <si>
    <t xml:space="preserve">INV-45962</t>
  </si>
  <si>
    <t xml:space="preserve">SALE-01826</t>
  </si>
  <si>
    <t xml:space="preserve">INV-84857</t>
  </si>
  <si>
    <t xml:space="preserve">SALE-01827</t>
  </si>
  <si>
    <t xml:space="preserve">INV-15611</t>
  </si>
  <si>
    <t xml:space="preserve">SALE-01828</t>
  </si>
  <si>
    <t xml:space="preserve">INV-73536</t>
  </si>
  <si>
    <t xml:space="preserve">SALE-01829</t>
  </si>
  <si>
    <t xml:space="preserve">INV-38778</t>
  </si>
  <si>
    <t xml:space="preserve">SALE-01830</t>
  </si>
  <si>
    <t xml:space="preserve">INV-42607</t>
  </si>
  <si>
    <t xml:space="preserve">SALE-01831</t>
  </si>
  <si>
    <t xml:space="preserve">INV-73603</t>
  </si>
  <si>
    <t xml:space="preserve">SALE-01832</t>
  </si>
  <si>
    <t xml:space="preserve">INV-66248</t>
  </si>
  <si>
    <t xml:space="preserve">SALE-01833</t>
  </si>
  <si>
    <t xml:space="preserve">INV-92813</t>
  </si>
  <si>
    <t xml:space="preserve">SALE-01834</t>
  </si>
  <si>
    <t xml:space="preserve">INV-99019</t>
  </si>
  <si>
    <t xml:space="preserve">SALE-01835</t>
  </si>
  <si>
    <t xml:space="preserve">INV-65747</t>
  </si>
  <si>
    <t xml:space="preserve">SALE-01836</t>
  </si>
  <si>
    <t xml:space="preserve">INV-24584</t>
  </si>
  <si>
    <t xml:space="preserve">SALE-01837</t>
  </si>
  <si>
    <t xml:space="preserve">INV-67801</t>
  </si>
  <si>
    <t xml:space="preserve">SALE-01838</t>
  </si>
  <si>
    <t xml:space="preserve">INV-11621</t>
  </si>
  <si>
    <t xml:space="preserve">SALE-01839</t>
  </si>
  <si>
    <t xml:space="preserve">INV-24250</t>
  </si>
  <si>
    <t xml:space="preserve">SALE-01840</t>
  </si>
  <si>
    <t xml:space="preserve">INV-94421</t>
  </si>
  <si>
    <t xml:space="preserve">SALE-01841</t>
  </si>
  <si>
    <t xml:space="preserve">INV-85928</t>
  </si>
  <si>
    <t xml:space="preserve">SALE-01842</t>
  </si>
  <si>
    <t xml:space="preserve">INV-32903</t>
  </si>
  <si>
    <t xml:space="preserve">SALE-01843</t>
  </si>
  <si>
    <t xml:space="preserve">INV-18298</t>
  </si>
  <si>
    <t xml:space="preserve">SALE-01844</t>
  </si>
  <si>
    <t xml:space="preserve">INV-95209</t>
  </si>
  <si>
    <t xml:space="preserve">SALE-01845</t>
  </si>
  <si>
    <t xml:space="preserve">INV-53041</t>
  </si>
  <si>
    <t xml:space="preserve">SALE-01846</t>
  </si>
  <si>
    <t xml:space="preserve">INV-16262</t>
  </si>
  <si>
    <t xml:space="preserve">SALE-01847</t>
  </si>
  <si>
    <t xml:space="preserve">INV-69702</t>
  </si>
  <si>
    <t xml:space="preserve">SALE-01848</t>
  </si>
  <si>
    <t xml:space="preserve">INV-35914</t>
  </si>
  <si>
    <t xml:space="preserve">SALE-01849</t>
  </si>
  <si>
    <t xml:space="preserve">INV-62694</t>
  </si>
  <si>
    <t xml:space="preserve">SALE-01850</t>
  </si>
  <si>
    <t xml:space="preserve">INV-34480</t>
  </si>
  <si>
    <t xml:space="preserve">SALE-01851</t>
  </si>
  <si>
    <t xml:space="preserve">INV-83122</t>
  </si>
  <si>
    <t xml:space="preserve">SALE-01852</t>
  </si>
  <si>
    <t xml:space="preserve">INV-99998</t>
  </si>
  <si>
    <t xml:space="preserve">SALE-01853</t>
  </si>
  <si>
    <t xml:space="preserve">INV-36122</t>
  </si>
  <si>
    <t xml:space="preserve">SALE-01854</t>
  </si>
  <si>
    <t xml:space="preserve">INV-31518</t>
  </si>
  <si>
    <t xml:space="preserve">SALE-01855</t>
  </si>
  <si>
    <t xml:space="preserve">INV-89223</t>
  </si>
  <si>
    <t xml:space="preserve">SALE-01856</t>
  </si>
  <si>
    <t xml:space="preserve">INV-55997</t>
  </si>
  <si>
    <t xml:space="preserve">SALE-01857</t>
  </si>
  <si>
    <t xml:space="preserve">INV-13500</t>
  </si>
  <si>
    <t xml:space="preserve">SALE-01858</t>
  </si>
  <si>
    <t xml:space="preserve">INV-10373</t>
  </si>
  <si>
    <t xml:space="preserve">SALE-01859</t>
  </si>
  <si>
    <t xml:space="preserve">INV-37802</t>
  </si>
  <si>
    <t xml:space="preserve">SALE-01860</t>
  </si>
  <si>
    <t xml:space="preserve">INV-40760</t>
  </si>
  <si>
    <t xml:space="preserve">SALE-01861</t>
  </si>
  <si>
    <t xml:space="preserve">INV-61008</t>
  </si>
  <si>
    <t xml:space="preserve">SALE-01862</t>
  </si>
  <si>
    <t xml:space="preserve">INV-23513</t>
  </si>
  <si>
    <t xml:space="preserve">SALE-01863</t>
  </si>
  <si>
    <t xml:space="preserve">INV-93777</t>
  </si>
  <si>
    <t xml:space="preserve">SALE-01864</t>
  </si>
  <si>
    <t xml:space="preserve">INV-91112</t>
  </si>
  <si>
    <t xml:space="preserve">SALE-01865</t>
  </si>
  <si>
    <t xml:space="preserve">INV-20432</t>
  </si>
  <si>
    <t xml:space="preserve">SALE-01866</t>
  </si>
  <si>
    <t xml:space="preserve">INV-15777</t>
  </si>
  <si>
    <t xml:space="preserve">SALE-01867</t>
  </si>
  <si>
    <t xml:space="preserve">INV-71983</t>
  </si>
  <si>
    <t xml:space="preserve">SALE-01868</t>
  </si>
  <si>
    <t xml:space="preserve">INV-64371</t>
  </si>
  <si>
    <t xml:space="preserve">SALE-01869</t>
  </si>
  <si>
    <t xml:space="preserve">INV-62331</t>
  </si>
  <si>
    <t xml:space="preserve">SALE-01870</t>
  </si>
  <si>
    <t xml:space="preserve">INV-77793</t>
  </si>
  <si>
    <t xml:space="preserve">SALE-01871</t>
  </si>
  <si>
    <t xml:space="preserve">INV-69583</t>
  </si>
  <si>
    <t xml:space="preserve">SALE-01872</t>
  </si>
  <si>
    <t xml:space="preserve">INV-19425</t>
  </si>
  <si>
    <t xml:space="preserve">SALE-01873</t>
  </si>
  <si>
    <t xml:space="preserve">INV-81842</t>
  </si>
  <si>
    <t xml:space="preserve">SALE-01874</t>
  </si>
  <si>
    <t xml:space="preserve">INV-71324</t>
  </si>
  <si>
    <t xml:space="preserve">SALE-01875</t>
  </si>
  <si>
    <t xml:space="preserve">INV-57903</t>
  </si>
  <si>
    <t xml:space="preserve">SALE-01876</t>
  </si>
  <si>
    <t xml:space="preserve">INV-60781</t>
  </si>
  <si>
    <t xml:space="preserve">SALE-01877</t>
  </si>
  <si>
    <t xml:space="preserve">INV-51785</t>
  </si>
  <si>
    <t xml:space="preserve">SALE-01878</t>
  </si>
  <si>
    <t xml:space="preserve">INV-55182</t>
  </si>
  <si>
    <t xml:space="preserve">SALE-01879</t>
  </si>
  <si>
    <t xml:space="preserve">INV-72567</t>
  </si>
  <si>
    <t xml:space="preserve">SALE-01880</t>
  </si>
  <si>
    <t xml:space="preserve">INV-41551</t>
  </si>
  <si>
    <t xml:space="preserve">SALE-01881</t>
  </si>
  <si>
    <t xml:space="preserve">INV-23471</t>
  </si>
  <si>
    <t xml:space="preserve">SALE-01882</t>
  </si>
  <si>
    <t xml:space="preserve">INV-13457</t>
  </si>
  <si>
    <t xml:space="preserve">SALE-01883</t>
  </si>
  <si>
    <t xml:space="preserve">INV-43196</t>
  </si>
  <si>
    <t xml:space="preserve">SALE-01884</t>
  </si>
  <si>
    <t xml:space="preserve">INV-94104</t>
  </si>
  <si>
    <t xml:space="preserve">SALE-01885</t>
  </si>
  <si>
    <t xml:space="preserve">INV-46572</t>
  </si>
  <si>
    <t xml:space="preserve">SALE-01886</t>
  </si>
  <si>
    <t xml:space="preserve">INV-44887</t>
  </si>
  <si>
    <t xml:space="preserve">SALE-01887</t>
  </si>
  <si>
    <t xml:space="preserve">INV-18439</t>
  </si>
  <si>
    <t xml:space="preserve">Sales Analysis: Jugaad Hardware &amp; Tools</t>
  </si>
  <si>
    <t xml:space="preserve">Units Sold</t>
  </si>
  <si>
    <t xml:space="preserve">Revenue</t>
  </si>
  <si>
    <t xml:space="preserve">Charts: Jugaad Hardware &amp; Tools</t>
  </si>
  <si>
    <t xml:space="preserve">Revenue by Category</t>
  </si>
  <si>
    <t xml:space="preserve">Monthly Revenue</t>
  </si>
  <si>
    <t xml:space="preserve">Top 10 Items by Revenue</t>
  </si>
  <si>
    <t xml:space="preserve">Item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</si>
  <si>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</si>
  <si>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</si>
  <si>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</si>
  <si>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</si>
  <si>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</si>
  <si>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</si>
  <si>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Fruit</t>
  </si>
  <si>
    <t xml:space="preserve">Count</t>
  </si>
  <si>
    <t xml:space="preserve">Apple</t>
  </si>
  <si>
    <t xml:space="preserve">Banana</t>
  </si>
  <si>
    <t xml:space="preserve">Papaya</t>
  </si>
  <si>
    <t xml:space="preserve">Grapes</t>
  </si>
  <si>
    <t xml:space="preserve">Highest </t>
  </si>
  <si>
    <r>
      <rPr>
        <sz val="11"/>
        <color theme="1"/>
        <rFont val="Calibri"/>
        <family val="2"/>
        <charset val="1"/>
      </rPr>
      <t xml:space="preserve">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Highest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</si>
</sst>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##,##0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2E4600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  <font>
      <b val="true"/>
      <u val="single"/>
      <sz val="11"/>
      <color theme="1"/>
      <name val="Calibri"/>
      <family val="2"/>
      <charset val="1"/>
    </font>
    <font>
      <vertAlign val="superscript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5B8C00"/>
        <bgColor rgb="FF579D1C"/>
      </patternFill>
    </fill>
    <fill>
      <patternFill patternType="solid">
        <fgColor rgb="FFD6E9B0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5B8C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A933"/>
      <rgbColor rgb="FF000080"/>
      <rgbColor rgb="FF5B8C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B0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8000"/>
      <rgbColor rgb="FF666699"/>
      <rgbColor rgb="FFB3B3B3"/>
      <rgbColor rgb="FF004586"/>
      <rgbColor rgb="FF579D1C"/>
      <rgbColor rgb="FF003300"/>
      <rgbColor rgb="FF314004"/>
      <rgbColor rgb="FF993300"/>
      <rgbColor rgb="FF993366"/>
      <rgbColor rgb="FF4B1F6F"/>
      <rgbColor rgb="FF2E46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category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Charts!$A$6:$A$15</c:f>
              <c:strCache>
                <c:ptCount val="10"/>
                <c:pt idx="0">
                  <c:v>Power Tools</c:v>
                </c:pt>
                <c:pt idx="1">
                  <c:v>Hand Tools</c:v>
                </c:pt>
                <c:pt idx="2">
                  <c:v>Electrical</c:v>
                </c:pt>
                <c:pt idx="3">
                  <c:v>Paints &amp; Coatings</c:v>
                </c:pt>
                <c:pt idx="4">
                  <c:v>Garden Tools</c:v>
                </c:pt>
                <c:pt idx="5">
                  <c:v>Hardware</c:v>
                </c:pt>
                <c:pt idx="6">
                  <c:v>Plumbing</c:v>
                </c:pt>
                <c:pt idx="7">
                  <c:v>Safety Gear</c:v>
                </c:pt>
                <c:pt idx="8">
                  <c:v>Adhesives &amp; Sealants</c:v>
                </c:pt>
                <c:pt idx="9">
                  <c:v>Fasteners</c:v>
                </c:pt>
              </c:strCache>
            </c:strRef>
          </c:cat>
          <c:val>
            <c:numRef>
              <c:f>Charts!$B$6:$B$15</c:f>
              <c:numCache>
                <c:formatCode>\₹###,##0</c:formatCode>
                <c:ptCount val="10"/>
                <c:pt idx="0">
                  <c:v>92946470</c:v>
                </c:pt>
                <c:pt idx="1">
                  <c:v>10622410</c:v>
                </c:pt>
                <c:pt idx="2">
                  <c:v>10526360</c:v>
                </c:pt>
                <c:pt idx="3">
                  <c:v>7948370</c:v>
                </c:pt>
                <c:pt idx="4">
                  <c:v>6288420</c:v>
                </c:pt>
                <c:pt idx="5">
                  <c:v>6161910</c:v>
                </c:pt>
                <c:pt idx="6">
                  <c:v>4763090</c:v>
                </c:pt>
                <c:pt idx="7">
                  <c:v>4465000</c:v>
                </c:pt>
                <c:pt idx="8">
                  <c:v>3272350</c:v>
                </c:pt>
                <c:pt idx="9">
                  <c:v>1222730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Top Selling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8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Charts!$A$6:$A$15</c:f>
              <c:strCache>
                <c:ptCount val="10"/>
                <c:pt idx="0">
                  <c:v>Power Tools</c:v>
                </c:pt>
                <c:pt idx="1">
                  <c:v>Hand Tools</c:v>
                </c:pt>
                <c:pt idx="2">
                  <c:v>Electrical</c:v>
                </c:pt>
                <c:pt idx="3">
                  <c:v>Paints &amp; Coatings</c:v>
                </c:pt>
                <c:pt idx="4">
                  <c:v>Garden Tools</c:v>
                </c:pt>
                <c:pt idx="5">
                  <c:v>Hardware</c:v>
                </c:pt>
                <c:pt idx="6">
                  <c:v>Plumbing</c:v>
                </c:pt>
                <c:pt idx="7">
                  <c:v>Safety Gear</c:v>
                </c:pt>
                <c:pt idx="8">
                  <c:v>Adhesives &amp; Sealants</c:v>
                </c:pt>
                <c:pt idx="9">
                  <c:v>Fasteners</c:v>
                </c:pt>
              </c:strCache>
            </c:strRef>
          </c:cat>
          <c:val>
            <c:numRef>
              <c:f>Charts!$B$6:$B$15</c:f>
              <c:numCache>
                <c:formatCode>\₹###,##0</c:formatCode>
                <c:ptCount val="10"/>
                <c:pt idx="0">
                  <c:v>92946470</c:v>
                </c:pt>
                <c:pt idx="1">
                  <c:v>10622410</c:v>
                </c:pt>
                <c:pt idx="2">
                  <c:v>10526360</c:v>
                </c:pt>
                <c:pt idx="3">
                  <c:v>7948370</c:v>
                </c:pt>
                <c:pt idx="4">
                  <c:v>6288420</c:v>
                </c:pt>
                <c:pt idx="5">
                  <c:v>6161910</c:v>
                </c:pt>
                <c:pt idx="6">
                  <c:v>4763090</c:v>
                </c:pt>
                <c:pt idx="7">
                  <c:v>4465000</c:v>
                </c:pt>
                <c:pt idx="8">
                  <c:v>3272350</c:v>
                </c:pt>
                <c:pt idx="9">
                  <c:v>1222730</c:v>
                </c:pt>
              </c:numCache>
            </c:numRef>
          </c:val>
        </c:ser>
        <c:gapWidth val="100"/>
        <c:overlap val="0"/>
        <c:axId val="42092741"/>
        <c:axId val="69124601"/>
      </c:barChart>
      <c:catAx>
        <c:axId val="420927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124601"/>
        <c:crosses val="autoZero"/>
        <c:auto val="1"/>
        <c:lblAlgn val="ctr"/>
        <c:lblOffset val="100"/>
        <c:noMultiLvlLbl val="0"/>
      </c:catAx>
      <c:valAx>
        <c:axId val="691246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#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0927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Charts!$E$5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A9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Charts!$D$6:$D$11</c:f>
              <c:strCache>
                <c:ptCount val="6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  <c:pt idx="5">
                  <c:v>Mar 2026</c:v>
                </c:pt>
              </c:strCache>
            </c:strRef>
          </c:cat>
          <c:val>
            <c:numRef>
              <c:f>Charts!$E$6:$E$11</c:f>
              <c:numCache>
                <c:formatCode>\₹###,##0</c:formatCode>
                <c:ptCount val="6"/>
                <c:pt idx="0">
                  <c:v>18035400</c:v>
                </c:pt>
                <c:pt idx="1">
                  <c:v>19100730</c:v>
                </c:pt>
                <c:pt idx="2">
                  <c:v>20801620</c:v>
                </c:pt>
                <c:pt idx="3">
                  <c:v>21612790</c:v>
                </c:pt>
                <c:pt idx="4">
                  <c:v>16850780</c:v>
                </c:pt>
                <c:pt idx="5">
                  <c:v>51815790</c:v>
                </c:pt>
              </c:numCache>
            </c:numRef>
          </c:val>
        </c:ser>
        <c:gapWidth val="100"/>
        <c:overlap val="0"/>
        <c:axId val="30901814"/>
        <c:axId val="76983417"/>
      </c:barChart>
      <c:catAx>
        <c:axId val="309018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6983417"/>
        <c:crosses val="autoZero"/>
        <c:auto val="1"/>
        <c:lblAlgn val="ctr"/>
        <c:lblOffset val="100"/>
        <c:noMultiLvlLbl val="0"/>
      </c:catAx>
      <c:valAx>
        <c:axId val="769834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#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09018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Top 10 Items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Charts!$I$5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Charts!$H$6:$H$15</c:f>
              <c:strCache>
                <c:ptCount val="10"/>
                <c:pt idx="0">
                  <c:v>Crompton Cordless Drill 20V Pro</c:v>
                </c:pt>
                <c:pt idx="1">
                  <c:v>Black &amp; Decker Reciprocating Saw Pro</c:v>
                </c:pt>
                <c:pt idx="2">
                  <c:v>Crompton Rotary Hammer SDS Plus</c:v>
                </c:pt>
                <c:pt idx="3">
                  <c:v>Stanley Hammer Drill Standard</c:v>
                </c:pt>
                <c:pt idx="4">
                  <c:v>Black &amp; Decker Cordless Drill 18V</c:v>
                </c:pt>
                <c:pt idx="5">
                  <c:v>Black &amp; Decker Reciprocating Saw Pro</c:v>
                </c:pt>
                <c:pt idx="6">
                  <c:v>Bosch Heat Gun 2000W</c:v>
                </c:pt>
                <c:pt idx="7">
                  <c:v>DeWalt Random Orbit Sander 125mm</c:v>
                </c:pt>
                <c:pt idx="8">
                  <c:v>DeWalt Random Orbit Sander 150mm</c:v>
                </c:pt>
                <c:pt idx="9">
                  <c:v>DeWalt Bench Grinder 8 inch</c:v>
                </c:pt>
              </c:strCache>
            </c:strRef>
          </c:cat>
          <c:val>
            <c:numRef>
              <c:f>Charts!$I$6:$I$15</c:f>
              <c:numCache>
                <c:formatCode>\₹###,##0</c:formatCode>
                <c:ptCount val="10"/>
                <c:pt idx="0">
                  <c:v>2930620</c:v>
                </c:pt>
                <c:pt idx="1">
                  <c:v>2999250</c:v>
                </c:pt>
                <c:pt idx="2">
                  <c:v>3177680</c:v>
                </c:pt>
                <c:pt idx="3">
                  <c:v>3412720</c:v>
                </c:pt>
                <c:pt idx="4">
                  <c:v>3433620</c:v>
                </c:pt>
                <c:pt idx="5">
                  <c:v>3520860</c:v>
                </c:pt>
                <c:pt idx="6">
                  <c:v>3596010</c:v>
                </c:pt>
                <c:pt idx="7">
                  <c:v>5055680</c:v>
                </c:pt>
                <c:pt idx="8">
                  <c:v>5779120</c:v>
                </c:pt>
                <c:pt idx="9">
                  <c:v>6835710</c:v>
                </c:pt>
              </c:numCache>
            </c:numRef>
          </c:val>
        </c:ser>
        <c:gapWidth val="100"/>
        <c:overlap val="0"/>
        <c:axId val="47397000"/>
        <c:axId val="48366028"/>
      </c:barChart>
      <c:catAx>
        <c:axId val="47397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366028"/>
        <c:crosses val="autoZero"/>
        <c:auto val="1"/>
        <c:lblAlgn val="ctr"/>
        <c:lblOffset val="100"/>
        <c:noMultiLvlLbl val="0"/>
      </c:catAx>
      <c:valAx>
        <c:axId val="483660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#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3970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136080</xdr:colOff>
      <xdr:row>18</xdr:row>
      <xdr:rowOff>21240</xdr:rowOff>
    </xdr:from>
    <xdr:to>
      <xdr:col>7</xdr:col>
      <xdr:colOff>853200</xdr:colOff>
      <xdr:row>35</xdr:row>
      <xdr:rowOff>22320</xdr:rowOff>
    </xdr:to>
    <xdr:graphicFrame>
      <xdr:nvGraphicFramePr>
        <xdr:cNvPr id="1" name=""/>
        <xdr:cNvGraphicFramePr/>
      </xdr:nvGraphicFramePr>
      <xdr:xfrm>
        <a:off x="1968840" y="3450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259920</xdr:colOff>
      <xdr:row>37</xdr:row>
      <xdr:rowOff>110160</xdr:rowOff>
    </xdr:from>
    <xdr:to>
      <xdr:col>7</xdr:col>
      <xdr:colOff>977040</xdr:colOff>
      <xdr:row>54</xdr:row>
      <xdr:rowOff>111240</xdr:rowOff>
    </xdr:to>
    <xdr:graphicFrame>
      <xdr:nvGraphicFramePr>
        <xdr:cNvPr id="2" name=""/>
        <xdr:cNvGraphicFramePr/>
      </xdr:nvGraphicFramePr>
      <xdr:xfrm>
        <a:off x="2092680" y="7158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1785240</xdr:colOff>
      <xdr:row>18</xdr:row>
      <xdr:rowOff>138600</xdr:rowOff>
    </xdr:from>
    <xdr:to>
      <xdr:col>15</xdr:col>
      <xdr:colOff>420480</xdr:colOff>
      <xdr:row>35</xdr:row>
      <xdr:rowOff>139680</xdr:rowOff>
    </xdr:to>
    <xdr:graphicFrame>
      <xdr:nvGraphicFramePr>
        <xdr:cNvPr id="3" name=""/>
        <xdr:cNvGraphicFramePr/>
      </xdr:nvGraphicFramePr>
      <xdr:xfrm>
        <a:off x="8660520" y="3567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465840</xdr:colOff>
      <xdr:row>18</xdr:row>
      <xdr:rowOff>109800</xdr:rowOff>
    </xdr:from>
    <xdr:to>
      <xdr:col>30</xdr:col>
      <xdr:colOff>224640</xdr:colOff>
      <xdr:row>35</xdr:row>
      <xdr:rowOff>110880</xdr:rowOff>
    </xdr:to>
    <xdr:graphicFrame>
      <xdr:nvGraphicFramePr>
        <xdr:cNvPr id="4" name=""/>
        <xdr:cNvGraphicFramePr/>
      </xdr:nvGraphicFramePr>
      <xdr:xfrm>
        <a:off x="17466120" y="353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6" activeCellId="0" sqref="H6:I15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7.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C1" s="1" t="s">
        <v>0</v>
      </c>
      <c r="D1" s="1"/>
    </row>
    <row r="2" customFormat="false" ht="15" hidden="false" customHeight="false" outlineLevel="0" collapsed="false">
      <c r="C2" s="1"/>
      <c r="D2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11</v>
      </c>
      <c r="E4" s="0" t="s">
        <v>12</v>
      </c>
      <c r="F4" s="3" t="n">
        <v>1540</v>
      </c>
      <c r="G4" s="3" t="n">
        <v>2160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  <c r="E5" s="0" t="s">
        <v>12</v>
      </c>
      <c r="F5" s="3" t="n">
        <v>1720</v>
      </c>
      <c r="G5" s="3" t="n">
        <v>2120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  <c r="E6" s="0" t="s">
        <v>12</v>
      </c>
      <c r="F6" s="3" t="n">
        <v>650</v>
      </c>
      <c r="G6" s="3" t="n">
        <v>930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  <c r="E7" s="0" t="s">
        <v>25</v>
      </c>
      <c r="F7" s="3" t="n">
        <v>1020</v>
      </c>
      <c r="G7" s="3" t="n">
        <v>1330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  <c r="E8" s="0" t="s">
        <v>12</v>
      </c>
      <c r="F8" s="3" t="n">
        <v>1060</v>
      </c>
      <c r="G8" s="3" t="n">
        <v>1320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23</v>
      </c>
      <c r="D9" s="0" t="s">
        <v>24</v>
      </c>
      <c r="E9" s="0" t="s">
        <v>12</v>
      </c>
      <c r="F9" s="3" t="n">
        <v>1520</v>
      </c>
      <c r="G9" s="3" t="n">
        <v>1810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19</v>
      </c>
      <c r="D10" s="0" t="s">
        <v>34</v>
      </c>
      <c r="E10" s="0" t="s">
        <v>12</v>
      </c>
      <c r="F10" s="3" t="n">
        <v>2860</v>
      </c>
      <c r="G10" s="3" t="n">
        <v>4060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28</v>
      </c>
      <c r="D11" s="0" t="s">
        <v>29</v>
      </c>
      <c r="E11" s="0" t="s">
        <v>12</v>
      </c>
      <c r="F11" s="3" t="n">
        <v>1470</v>
      </c>
      <c r="G11" s="3" t="n">
        <v>1920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12</v>
      </c>
      <c r="F12" s="3" t="n">
        <v>450</v>
      </c>
      <c r="G12" s="3" t="n">
        <v>540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19</v>
      </c>
      <c r="D13" s="0" t="s">
        <v>43</v>
      </c>
      <c r="E13" s="0" t="s">
        <v>12</v>
      </c>
      <c r="F13" s="3" t="n">
        <v>800</v>
      </c>
      <c r="G13" s="3" t="n">
        <v>1020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23</v>
      </c>
      <c r="D14" s="0" t="s">
        <v>46</v>
      </c>
      <c r="E14" s="0" t="s">
        <v>12</v>
      </c>
      <c r="F14" s="3" t="n">
        <v>1320</v>
      </c>
      <c r="G14" s="3" t="n">
        <v>1630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23</v>
      </c>
      <c r="D15" s="0" t="s">
        <v>49</v>
      </c>
      <c r="E15" s="0" t="s">
        <v>50</v>
      </c>
      <c r="F15" s="3" t="n">
        <v>240</v>
      </c>
      <c r="G15" s="3" t="n">
        <v>300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54</v>
      </c>
      <c r="E16" s="0" t="s">
        <v>12</v>
      </c>
      <c r="F16" s="3" t="n">
        <v>10020</v>
      </c>
      <c r="G16" s="3" t="n">
        <v>12560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0" t="s">
        <v>28</v>
      </c>
      <c r="D17" s="0" t="s">
        <v>57</v>
      </c>
      <c r="E17" s="0" t="s">
        <v>25</v>
      </c>
      <c r="F17" s="3" t="n">
        <v>2210</v>
      </c>
      <c r="G17" s="3" t="n">
        <v>2920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0" t="s">
        <v>23</v>
      </c>
      <c r="D18" s="0" t="s">
        <v>60</v>
      </c>
      <c r="E18" s="0" t="s">
        <v>12</v>
      </c>
      <c r="F18" s="3" t="n">
        <v>780</v>
      </c>
      <c r="G18" s="3" t="n">
        <v>1010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28</v>
      </c>
      <c r="D19" s="0" t="s">
        <v>63</v>
      </c>
      <c r="E19" s="0" t="s">
        <v>50</v>
      </c>
      <c r="F19" s="3" t="n">
        <v>1510</v>
      </c>
      <c r="G19" s="3" t="n">
        <v>1930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s">
        <v>66</v>
      </c>
      <c r="D20" s="0" t="s">
        <v>67</v>
      </c>
      <c r="E20" s="0" t="s">
        <v>25</v>
      </c>
      <c r="F20" s="3" t="n">
        <v>1290</v>
      </c>
      <c r="G20" s="3" t="n">
        <v>1540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0" t="s">
        <v>15</v>
      </c>
      <c r="D21" s="0" t="s">
        <v>70</v>
      </c>
      <c r="E21" s="0" t="s">
        <v>12</v>
      </c>
      <c r="F21" s="3" t="n">
        <v>1140</v>
      </c>
      <c r="G21" s="3" t="n">
        <v>1350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73</v>
      </c>
      <c r="D22" s="0" t="s">
        <v>74</v>
      </c>
      <c r="E22" s="0" t="s">
        <v>50</v>
      </c>
      <c r="F22" s="3" t="n">
        <v>340</v>
      </c>
      <c r="G22" s="3" t="n">
        <v>470</v>
      </c>
    </row>
    <row r="23" customFormat="false" ht="15" hidden="false" customHeight="false" outlineLevel="0" collapsed="false">
      <c r="A23" s="0" t="s">
        <v>75</v>
      </c>
      <c r="B23" s="0" t="s">
        <v>76</v>
      </c>
      <c r="C23" s="0" t="s">
        <v>19</v>
      </c>
      <c r="D23" s="0" t="s">
        <v>34</v>
      </c>
      <c r="E23" s="0" t="s">
        <v>12</v>
      </c>
      <c r="F23" s="3" t="n">
        <v>1640</v>
      </c>
      <c r="G23" s="3" t="n">
        <v>2340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0" t="s">
        <v>23</v>
      </c>
      <c r="D24" s="0" t="s">
        <v>60</v>
      </c>
      <c r="E24" s="0" t="s">
        <v>25</v>
      </c>
      <c r="F24" s="3" t="n">
        <v>690</v>
      </c>
      <c r="G24" s="3" t="n">
        <v>950</v>
      </c>
    </row>
    <row r="25" customFormat="false" ht="15" hidden="false" customHeight="false" outlineLevel="0" collapsed="false">
      <c r="A25" s="0" t="s">
        <v>79</v>
      </c>
      <c r="B25" s="0" t="s">
        <v>80</v>
      </c>
      <c r="C25" s="0" t="s">
        <v>15</v>
      </c>
      <c r="D25" s="0" t="s">
        <v>70</v>
      </c>
      <c r="E25" s="0" t="s">
        <v>12</v>
      </c>
      <c r="F25" s="3" t="n">
        <v>1690</v>
      </c>
      <c r="G25" s="3" t="n">
        <v>2160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28</v>
      </c>
      <c r="D26" s="0" t="s">
        <v>63</v>
      </c>
      <c r="E26" s="0" t="s">
        <v>25</v>
      </c>
      <c r="F26" s="3" t="n">
        <v>2090</v>
      </c>
      <c r="G26" s="3" t="n">
        <v>2820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85</v>
      </c>
      <c r="D27" s="0" t="s">
        <v>86</v>
      </c>
      <c r="E27" s="0" t="s">
        <v>50</v>
      </c>
      <c r="F27" s="3" t="n">
        <v>3920</v>
      </c>
      <c r="G27" s="3" t="n">
        <v>5590</v>
      </c>
    </row>
    <row r="28" customFormat="false" ht="15" hidden="false" customHeight="false" outlineLevel="0" collapsed="false">
      <c r="A28" s="0" t="s">
        <v>87</v>
      </c>
      <c r="B28" s="0" t="s">
        <v>88</v>
      </c>
      <c r="C28" s="0" t="s">
        <v>28</v>
      </c>
      <c r="D28" s="0" t="s">
        <v>89</v>
      </c>
      <c r="E28" s="0" t="s">
        <v>25</v>
      </c>
      <c r="F28" s="3" t="n">
        <v>1660</v>
      </c>
      <c r="G28" s="3" t="n">
        <v>1990</v>
      </c>
    </row>
    <row r="29" customFormat="false" ht="15" hidden="false" customHeight="false" outlineLevel="0" collapsed="false">
      <c r="A29" s="0" t="s">
        <v>90</v>
      </c>
      <c r="B29" s="0" t="s">
        <v>91</v>
      </c>
      <c r="C29" s="0" t="s">
        <v>73</v>
      </c>
      <c r="D29" s="0" t="s">
        <v>74</v>
      </c>
      <c r="E29" s="0" t="s">
        <v>50</v>
      </c>
      <c r="F29" s="3" t="n">
        <v>90</v>
      </c>
      <c r="G29" s="3" t="n">
        <v>120</v>
      </c>
    </row>
    <row r="30" customFormat="false" ht="15" hidden="false" customHeight="false" outlineLevel="0" collapsed="false">
      <c r="A30" s="0" t="s">
        <v>92</v>
      </c>
      <c r="B30" s="0" t="s">
        <v>93</v>
      </c>
      <c r="C30" s="0" t="s">
        <v>23</v>
      </c>
      <c r="D30" s="0" t="s">
        <v>94</v>
      </c>
      <c r="E30" s="0" t="s">
        <v>12</v>
      </c>
      <c r="F30" s="3" t="n">
        <v>1940</v>
      </c>
      <c r="G30" s="3" t="n">
        <v>2430</v>
      </c>
    </row>
    <row r="31" customFormat="false" ht="15" hidden="false" customHeight="false" outlineLevel="0" collapsed="false">
      <c r="A31" s="0" t="s">
        <v>95</v>
      </c>
      <c r="B31" s="0" t="s">
        <v>96</v>
      </c>
      <c r="C31" s="0" t="s">
        <v>15</v>
      </c>
      <c r="D31" s="0" t="s">
        <v>97</v>
      </c>
      <c r="E31" s="0" t="s">
        <v>12</v>
      </c>
      <c r="F31" s="3" t="n">
        <v>2670</v>
      </c>
      <c r="G31" s="3" t="n">
        <v>3640</v>
      </c>
    </row>
    <row r="32" customFormat="false" ht="15" hidden="false" customHeight="false" outlineLevel="0" collapsed="false">
      <c r="A32" s="0" t="s">
        <v>98</v>
      </c>
      <c r="B32" s="0" t="s">
        <v>99</v>
      </c>
      <c r="C32" s="0" t="s">
        <v>66</v>
      </c>
      <c r="D32" s="0" t="s">
        <v>67</v>
      </c>
      <c r="E32" s="0" t="s">
        <v>12</v>
      </c>
      <c r="F32" s="3" t="n">
        <v>800</v>
      </c>
      <c r="G32" s="3" t="n">
        <v>990</v>
      </c>
    </row>
    <row r="33" customFormat="false" ht="15" hidden="false" customHeight="false" outlineLevel="0" collapsed="false">
      <c r="A33" s="0" t="s">
        <v>100</v>
      </c>
      <c r="B33" s="0" t="s">
        <v>101</v>
      </c>
      <c r="C33" s="0" t="s">
        <v>85</v>
      </c>
      <c r="D33" s="0" t="s">
        <v>102</v>
      </c>
      <c r="E33" s="0" t="s">
        <v>12</v>
      </c>
      <c r="F33" s="3" t="n">
        <v>7610</v>
      </c>
      <c r="G33" s="3" t="n">
        <v>10110</v>
      </c>
    </row>
    <row r="34" customFormat="false" ht="15" hidden="false" customHeight="false" outlineLevel="0" collapsed="false">
      <c r="A34" s="0" t="s">
        <v>103</v>
      </c>
      <c r="B34" s="0" t="s">
        <v>104</v>
      </c>
      <c r="C34" s="0" t="s">
        <v>28</v>
      </c>
      <c r="D34" s="0" t="s">
        <v>89</v>
      </c>
      <c r="E34" s="0" t="s">
        <v>50</v>
      </c>
      <c r="F34" s="3" t="n">
        <v>1430</v>
      </c>
      <c r="G34" s="3" t="n">
        <v>1800</v>
      </c>
    </row>
    <row r="35" customFormat="false" ht="15" hidden="false" customHeight="false" outlineLevel="0" collapsed="false">
      <c r="A35" s="0" t="s">
        <v>105</v>
      </c>
      <c r="B35" s="0" t="s">
        <v>106</v>
      </c>
      <c r="C35" s="0" t="s">
        <v>53</v>
      </c>
      <c r="D35" s="0" t="s">
        <v>107</v>
      </c>
      <c r="E35" s="0" t="s">
        <v>25</v>
      </c>
      <c r="F35" s="3" t="n">
        <v>9980</v>
      </c>
      <c r="G35" s="3" t="n">
        <v>13720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0" t="s">
        <v>15</v>
      </c>
      <c r="D36" s="0" t="s">
        <v>74</v>
      </c>
      <c r="E36" s="0" t="s">
        <v>12</v>
      </c>
      <c r="F36" s="3" t="n">
        <v>1210</v>
      </c>
      <c r="G36" s="3" t="n">
        <v>1480</v>
      </c>
    </row>
    <row r="37" customFormat="false" ht="15" hidden="false" customHeight="false" outlineLevel="0" collapsed="false">
      <c r="A37" s="0" t="s">
        <v>110</v>
      </c>
      <c r="B37" s="0" t="s">
        <v>111</v>
      </c>
      <c r="C37" s="0" t="s">
        <v>66</v>
      </c>
      <c r="D37" s="0" t="s">
        <v>67</v>
      </c>
      <c r="E37" s="0" t="s">
        <v>12</v>
      </c>
      <c r="F37" s="3" t="n">
        <v>670</v>
      </c>
      <c r="G37" s="3" t="n">
        <v>960</v>
      </c>
    </row>
    <row r="38" customFormat="false" ht="15" hidden="false" customHeight="false" outlineLevel="0" collapsed="false">
      <c r="A38" s="0" t="s">
        <v>112</v>
      </c>
      <c r="B38" s="0" t="s">
        <v>113</v>
      </c>
      <c r="C38" s="0" t="s">
        <v>15</v>
      </c>
      <c r="D38" s="0" t="s">
        <v>70</v>
      </c>
      <c r="E38" s="0" t="s">
        <v>25</v>
      </c>
      <c r="F38" s="3" t="n">
        <v>1810</v>
      </c>
      <c r="G38" s="3" t="n">
        <v>2300</v>
      </c>
    </row>
    <row r="39" customFormat="false" ht="15" hidden="false" customHeight="false" outlineLevel="0" collapsed="false">
      <c r="A39" s="0" t="s">
        <v>114</v>
      </c>
      <c r="B39" s="0" t="s">
        <v>115</v>
      </c>
      <c r="C39" s="0" t="s">
        <v>28</v>
      </c>
      <c r="D39" s="0" t="s">
        <v>116</v>
      </c>
      <c r="E39" s="0" t="s">
        <v>12</v>
      </c>
      <c r="F39" s="3" t="n">
        <v>440</v>
      </c>
      <c r="G39" s="3" t="n">
        <v>590</v>
      </c>
    </row>
    <row r="40" customFormat="false" ht="15" hidden="false" customHeight="false" outlineLevel="0" collapsed="false">
      <c r="A40" s="0" t="s">
        <v>117</v>
      </c>
      <c r="B40" s="0" t="s">
        <v>118</v>
      </c>
      <c r="C40" s="0" t="s">
        <v>73</v>
      </c>
      <c r="D40" s="0" t="s">
        <v>119</v>
      </c>
      <c r="E40" s="0" t="s">
        <v>50</v>
      </c>
      <c r="F40" s="3" t="n">
        <v>280</v>
      </c>
      <c r="G40" s="3" t="n">
        <v>360</v>
      </c>
    </row>
    <row r="41" customFormat="false" ht="15" hidden="false" customHeight="false" outlineLevel="0" collapsed="false">
      <c r="A41" s="0" t="s">
        <v>120</v>
      </c>
      <c r="B41" s="0" t="s">
        <v>121</v>
      </c>
      <c r="C41" s="0" t="s">
        <v>73</v>
      </c>
      <c r="D41" s="0" t="s">
        <v>122</v>
      </c>
      <c r="E41" s="0" t="s">
        <v>50</v>
      </c>
      <c r="F41" s="3" t="n">
        <v>200</v>
      </c>
      <c r="G41" s="3" t="n">
        <v>260</v>
      </c>
    </row>
    <row r="42" customFormat="false" ht="15" hidden="false" customHeight="false" outlineLevel="0" collapsed="false">
      <c r="A42" s="0" t="s">
        <v>123</v>
      </c>
      <c r="B42" s="0" t="s">
        <v>124</v>
      </c>
      <c r="C42" s="0" t="s">
        <v>53</v>
      </c>
      <c r="D42" s="0" t="s">
        <v>24</v>
      </c>
      <c r="E42" s="0" t="s">
        <v>12</v>
      </c>
      <c r="F42" s="3" t="n">
        <v>11760</v>
      </c>
      <c r="G42" s="3" t="n">
        <v>14710</v>
      </c>
    </row>
    <row r="43" customFormat="false" ht="15" hidden="false" customHeight="false" outlineLevel="0" collapsed="false">
      <c r="A43" s="0" t="s">
        <v>125</v>
      </c>
      <c r="B43" s="0" t="s">
        <v>126</v>
      </c>
      <c r="C43" s="0" t="s">
        <v>15</v>
      </c>
      <c r="D43" s="0" t="s">
        <v>74</v>
      </c>
      <c r="E43" s="0" t="s">
        <v>12</v>
      </c>
      <c r="F43" s="3" t="n">
        <v>1640</v>
      </c>
      <c r="G43" s="3" t="n">
        <v>2240</v>
      </c>
    </row>
    <row r="44" customFormat="false" ht="15" hidden="false" customHeight="false" outlineLevel="0" collapsed="false">
      <c r="A44" s="0" t="s">
        <v>127</v>
      </c>
      <c r="B44" s="0" t="s">
        <v>128</v>
      </c>
      <c r="C44" s="0" t="s">
        <v>19</v>
      </c>
      <c r="D44" s="0" t="s">
        <v>129</v>
      </c>
      <c r="E44" s="0" t="s">
        <v>50</v>
      </c>
      <c r="F44" s="3" t="n">
        <v>1900</v>
      </c>
      <c r="G44" s="3" t="n">
        <v>2710</v>
      </c>
    </row>
    <row r="45" customFormat="false" ht="15" hidden="false" customHeight="false" outlineLevel="0" collapsed="false">
      <c r="A45" s="0" t="s">
        <v>130</v>
      </c>
      <c r="B45" s="0" t="s">
        <v>131</v>
      </c>
      <c r="C45" s="0" t="s">
        <v>53</v>
      </c>
      <c r="D45" s="0" t="s">
        <v>132</v>
      </c>
      <c r="E45" s="0" t="s">
        <v>25</v>
      </c>
      <c r="F45" s="3" t="n">
        <v>12060</v>
      </c>
      <c r="G45" s="3" t="n">
        <v>17180</v>
      </c>
    </row>
    <row r="46" customFormat="false" ht="15" hidden="false" customHeight="false" outlineLevel="0" collapsed="false">
      <c r="A46" s="0" t="s">
        <v>133</v>
      </c>
      <c r="B46" s="0" t="s">
        <v>134</v>
      </c>
      <c r="C46" s="0" t="s">
        <v>15</v>
      </c>
      <c r="D46" s="0" t="s">
        <v>135</v>
      </c>
      <c r="E46" s="0" t="s">
        <v>12</v>
      </c>
      <c r="F46" s="3" t="n">
        <v>910</v>
      </c>
      <c r="G46" s="3" t="n">
        <v>1240</v>
      </c>
    </row>
    <row r="47" customFormat="false" ht="15" hidden="false" customHeight="false" outlineLevel="0" collapsed="false">
      <c r="A47" s="0" t="s">
        <v>136</v>
      </c>
      <c r="B47" s="0" t="s">
        <v>137</v>
      </c>
      <c r="C47" s="0" t="s">
        <v>66</v>
      </c>
      <c r="D47" s="0" t="s">
        <v>138</v>
      </c>
      <c r="E47" s="0" t="s">
        <v>50</v>
      </c>
      <c r="F47" s="3" t="n">
        <v>1050</v>
      </c>
      <c r="G47" s="3" t="n">
        <v>1490</v>
      </c>
    </row>
    <row r="48" customFormat="false" ht="15" hidden="false" customHeight="false" outlineLevel="0" collapsed="false">
      <c r="A48" s="0" t="s">
        <v>139</v>
      </c>
      <c r="B48" s="0" t="s">
        <v>140</v>
      </c>
      <c r="C48" s="0" t="s">
        <v>53</v>
      </c>
      <c r="D48" s="0" t="s">
        <v>141</v>
      </c>
      <c r="E48" s="0" t="s">
        <v>25</v>
      </c>
      <c r="F48" s="3" t="n">
        <v>15220</v>
      </c>
      <c r="G48" s="3" t="n">
        <v>20320</v>
      </c>
    </row>
    <row r="49" customFormat="false" ht="15" hidden="false" customHeight="false" outlineLevel="0" collapsed="false">
      <c r="A49" s="0" t="s">
        <v>142</v>
      </c>
      <c r="B49" s="0" t="s">
        <v>143</v>
      </c>
      <c r="C49" s="0" t="s">
        <v>28</v>
      </c>
      <c r="D49" s="0" t="s">
        <v>29</v>
      </c>
      <c r="E49" s="0" t="s">
        <v>25</v>
      </c>
      <c r="F49" s="3" t="n">
        <v>1020</v>
      </c>
      <c r="G49" s="3" t="n">
        <v>1380</v>
      </c>
    </row>
    <row r="50" customFormat="false" ht="15" hidden="false" customHeight="false" outlineLevel="0" collapsed="false">
      <c r="A50" s="0" t="s">
        <v>144</v>
      </c>
      <c r="B50" s="0" t="s">
        <v>145</v>
      </c>
      <c r="C50" s="0" t="s">
        <v>66</v>
      </c>
      <c r="D50" s="0" t="s">
        <v>138</v>
      </c>
      <c r="E50" s="0" t="s">
        <v>12</v>
      </c>
      <c r="F50" s="3" t="n">
        <v>740</v>
      </c>
      <c r="G50" s="3" t="n">
        <v>930</v>
      </c>
    </row>
    <row r="51" customFormat="false" ht="15" hidden="false" customHeight="false" outlineLevel="0" collapsed="false">
      <c r="A51" s="0" t="s">
        <v>146</v>
      </c>
      <c r="B51" s="0" t="s">
        <v>147</v>
      </c>
      <c r="C51" s="0" t="s">
        <v>10</v>
      </c>
      <c r="D51" s="0" t="s">
        <v>11</v>
      </c>
      <c r="E51" s="0" t="s">
        <v>50</v>
      </c>
      <c r="F51" s="3" t="n">
        <v>2150</v>
      </c>
      <c r="G51" s="3" t="n">
        <v>2760</v>
      </c>
    </row>
    <row r="52" customFormat="false" ht="15" hidden="false" customHeight="false" outlineLevel="0" collapsed="false">
      <c r="A52" s="0" t="s">
        <v>148</v>
      </c>
      <c r="B52" s="0" t="s">
        <v>149</v>
      </c>
      <c r="C52" s="0" t="s">
        <v>39</v>
      </c>
      <c r="D52" s="0" t="s">
        <v>150</v>
      </c>
      <c r="E52" s="0" t="s">
        <v>25</v>
      </c>
      <c r="F52" s="3" t="n">
        <v>310</v>
      </c>
      <c r="G52" s="3" t="n">
        <v>430</v>
      </c>
    </row>
    <row r="53" customFormat="false" ht="15" hidden="false" customHeight="false" outlineLevel="0" collapsed="false">
      <c r="A53" s="0" t="s">
        <v>151</v>
      </c>
      <c r="B53" s="0" t="s">
        <v>152</v>
      </c>
      <c r="C53" s="0" t="s">
        <v>85</v>
      </c>
      <c r="D53" s="0" t="s">
        <v>153</v>
      </c>
      <c r="E53" s="0" t="s">
        <v>50</v>
      </c>
      <c r="F53" s="3" t="n">
        <v>2010</v>
      </c>
      <c r="G53" s="3" t="n">
        <v>2560</v>
      </c>
    </row>
    <row r="54" customFormat="false" ht="15" hidden="false" customHeight="false" outlineLevel="0" collapsed="false">
      <c r="A54" s="0" t="s">
        <v>154</v>
      </c>
      <c r="B54" s="0" t="s">
        <v>155</v>
      </c>
      <c r="C54" s="0" t="s">
        <v>73</v>
      </c>
      <c r="D54" s="0" t="s">
        <v>119</v>
      </c>
      <c r="E54" s="0" t="s">
        <v>25</v>
      </c>
      <c r="F54" s="3" t="n">
        <v>150</v>
      </c>
      <c r="G54" s="3" t="n">
        <v>180</v>
      </c>
    </row>
    <row r="55" customFormat="false" ht="15" hidden="false" customHeight="false" outlineLevel="0" collapsed="false">
      <c r="A55" s="0" t="s">
        <v>156</v>
      </c>
      <c r="B55" s="0" t="s">
        <v>157</v>
      </c>
      <c r="C55" s="0" t="s">
        <v>85</v>
      </c>
      <c r="D55" s="0" t="s">
        <v>102</v>
      </c>
      <c r="E55" s="0" t="s">
        <v>12</v>
      </c>
      <c r="F55" s="3" t="n">
        <v>2540</v>
      </c>
      <c r="G55" s="3" t="n">
        <v>3000</v>
      </c>
    </row>
    <row r="56" customFormat="false" ht="15" hidden="false" customHeight="false" outlineLevel="0" collapsed="false">
      <c r="A56" s="0" t="s">
        <v>158</v>
      </c>
      <c r="B56" s="0" t="s">
        <v>159</v>
      </c>
      <c r="C56" s="0" t="s">
        <v>73</v>
      </c>
      <c r="D56" s="0" t="s">
        <v>119</v>
      </c>
      <c r="E56" s="0" t="s">
        <v>12</v>
      </c>
      <c r="F56" s="3" t="n">
        <v>470</v>
      </c>
      <c r="G56" s="3" t="n">
        <v>590</v>
      </c>
    </row>
    <row r="57" customFormat="false" ht="15" hidden="false" customHeight="false" outlineLevel="0" collapsed="false">
      <c r="A57" s="0" t="s">
        <v>160</v>
      </c>
      <c r="B57" s="0" t="s">
        <v>161</v>
      </c>
      <c r="C57" s="0" t="s">
        <v>39</v>
      </c>
      <c r="D57" s="0" t="s">
        <v>162</v>
      </c>
      <c r="E57" s="0" t="s">
        <v>12</v>
      </c>
      <c r="F57" s="3" t="n">
        <v>540</v>
      </c>
      <c r="G57" s="3" t="n">
        <v>770</v>
      </c>
    </row>
    <row r="58" customFormat="false" ht="15" hidden="false" customHeight="false" outlineLevel="0" collapsed="false">
      <c r="A58" s="0" t="s">
        <v>163</v>
      </c>
      <c r="B58" s="0" t="s">
        <v>164</v>
      </c>
      <c r="C58" s="0" t="s">
        <v>53</v>
      </c>
      <c r="D58" s="0" t="s">
        <v>132</v>
      </c>
      <c r="E58" s="0" t="s">
        <v>12</v>
      </c>
      <c r="F58" s="3" t="n">
        <v>14910</v>
      </c>
      <c r="G58" s="3" t="n">
        <v>18730</v>
      </c>
    </row>
    <row r="59" customFormat="false" ht="15" hidden="false" customHeight="false" outlineLevel="0" collapsed="false">
      <c r="A59" s="0" t="s">
        <v>165</v>
      </c>
      <c r="B59" s="0" t="s">
        <v>166</v>
      </c>
      <c r="C59" s="0" t="s">
        <v>66</v>
      </c>
      <c r="D59" s="0" t="s">
        <v>167</v>
      </c>
      <c r="E59" s="0" t="s">
        <v>12</v>
      </c>
      <c r="F59" s="3" t="n">
        <v>730</v>
      </c>
      <c r="G59" s="3" t="n">
        <v>970</v>
      </c>
    </row>
    <row r="60" customFormat="false" ht="15" hidden="false" customHeight="false" outlineLevel="0" collapsed="false">
      <c r="A60" s="0" t="s">
        <v>168</v>
      </c>
      <c r="B60" s="0" t="s">
        <v>72</v>
      </c>
      <c r="C60" s="0" t="s">
        <v>73</v>
      </c>
      <c r="D60" s="0" t="s">
        <v>74</v>
      </c>
      <c r="E60" s="0" t="s">
        <v>50</v>
      </c>
      <c r="F60" s="3" t="n">
        <v>180</v>
      </c>
      <c r="G60" s="3" t="n">
        <v>250</v>
      </c>
    </row>
    <row r="61" customFormat="false" ht="15" hidden="false" customHeight="false" outlineLevel="0" collapsed="false">
      <c r="A61" s="0" t="s">
        <v>169</v>
      </c>
      <c r="B61" s="0" t="s">
        <v>9</v>
      </c>
      <c r="C61" s="0" t="s">
        <v>10</v>
      </c>
      <c r="D61" s="0" t="s">
        <v>11</v>
      </c>
      <c r="E61" s="0" t="s">
        <v>25</v>
      </c>
      <c r="F61" s="3" t="n">
        <v>3400</v>
      </c>
      <c r="G61" s="3" t="n">
        <v>4120</v>
      </c>
    </row>
    <row r="62" customFormat="false" ht="15" hidden="false" customHeight="false" outlineLevel="0" collapsed="false">
      <c r="A62" s="0" t="s">
        <v>170</v>
      </c>
      <c r="B62" s="0" t="s">
        <v>171</v>
      </c>
      <c r="C62" s="0" t="s">
        <v>19</v>
      </c>
      <c r="D62" s="0" t="s">
        <v>20</v>
      </c>
      <c r="E62" s="0" t="s">
        <v>25</v>
      </c>
      <c r="F62" s="3" t="n">
        <v>310</v>
      </c>
      <c r="G62" s="3" t="n">
        <v>370</v>
      </c>
    </row>
    <row r="63" customFormat="false" ht="15" hidden="false" customHeight="false" outlineLevel="0" collapsed="false">
      <c r="A63" s="0" t="s">
        <v>172</v>
      </c>
      <c r="B63" s="0" t="s">
        <v>173</v>
      </c>
      <c r="C63" s="0" t="s">
        <v>15</v>
      </c>
      <c r="D63" s="0" t="s">
        <v>135</v>
      </c>
      <c r="E63" s="0" t="s">
        <v>25</v>
      </c>
      <c r="F63" s="3" t="n">
        <v>2440</v>
      </c>
      <c r="G63" s="3" t="n">
        <v>3300</v>
      </c>
    </row>
    <row r="64" customFormat="false" ht="15" hidden="false" customHeight="false" outlineLevel="0" collapsed="false">
      <c r="A64" s="0" t="s">
        <v>174</v>
      </c>
      <c r="B64" s="0" t="s">
        <v>175</v>
      </c>
      <c r="C64" s="0" t="s">
        <v>73</v>
      </c>
      <c r="D64" s="0" t="s">
        <v>122</v>
      </c>
      <c r="E64" s="0" t="s">
        <v>25</v>
      </c>
      <c r="F64" s="3" t="n">
        <v>350</v>
      </c>
      <c r="G64" s="3" t="n">
        <v>480</v>
      </c>
    </row>
    <row r="65" customFormat="false" ht="15" hidden="false" customHeight="false" outlineLevel="0" collapsed="false">
      <c r="A65" s="0" t="s">
        <v>176</v>
      </c>
      <c r="B65" s="0" t="s">
        <v>177</v>
      </c>
      <c r="C65" s="0" t="s">
        <v>53</v>
      </c>
      <c r="D65" s="0" t="s">
        <v>107</v>
      </c>
      <c r="E65" s="0" t="s">
        <v>12</v>
      </c>
      <c r="F65" s="3" t="n">
        <v>13570</v>
      </c>
      <c r="G65" s="3" t="n">
        <v>17600</v>
      </c>
    </row>
    <row r="66" customFormat="false" ht="15" hidden="false" customHeight="false" outlineLevel="0" collapsed="false">
      <c r="A66" s="0" t="s">
        <v>178</v>
      </c>
      <c r="B66" s="0" t="s">
        <v>179</v>
      </c>
      <c r="C66" s="0" t="s">
        <v>23</v>
      </c>
      <c r="D66" s="0" t="s">
        <v>46</v>
      </c>
      <c r="E66" s="0" t="s">
        <v>12</v>
      </c>
      <c r="F66" s="3" t="n">
        <v>1110</v>
      </c>
      <c r="G66" s="3" t="n">
        <v>1310</v>
      </c>
    </row>
    <row r="67" customFormat="false" ht="15" hidden="false" customHeight="false" outlineLevel="0" collapsed="false">
      <c r="A67" s="0" t="s">
        <v>180</v>
      </c>
      <c r="B67" s="0" t="s">
        <v>181</v>
      </c>
      <c r="C67" s="0" t="s">
        <v>53</v>
      </c>
      <c r="D67" s="0" t="s">
        <v>182</v>
      </c>
      <c r="E67" s="0" t="s">
        <v>12</v>
      </c>
      <c r="F67" s="3" t="n">
        <v>7410</v>
      </c>
      <c r="G67" s="3" t="n">
        <v>9560</v>
      </c>
    </row>
    <row r="68" customFormat="false" ht="15" hidden="false" customHeight="false" outlineLevel="0" collapsed="false">
      <c r="A68" s="0" t="s">
        <v>183</v>
      </c>
      <c r="B68" s="0" t="s">
        <v>184</v>
      </c>
      <c r="C68" s="0" t="s">
        <v>23</v>
      </c>
      <c r="D68" s="0" t="s">
        <v>60</v>
      </c>
      <c r="E68" s="0" t="s">
        <v>25</v>
      </c>
      <c r="F68" s="3" t="n">
        <v>1740</v>
      </c>
      <c r="G68" s="3" t="n">
        <v>2160</v>
      </c>
    </row>
    <row r="69" customFormat="false" ht="15" hidden="false" customHeight="false" outlineLevel="0" collapsed="false">
      <c r="A69" s="0" t="s">
        <v>185</v>
      </c>
      <c r="B69" s="0" t="s">
        <v>186</v>
      </c>
      <c r="C69" s="0" t="s">
        <v>28</v>
      </c>
      <c r="D69" s="0" t="s">
        <v>89</v>
      </c>
      <c r="E69" s="0" t="s">
        <v>12</v>
      </c>
      <c r="F69" s="3" t="n">
        <v>1330</v>
      </c>
      <c r="G69" s="3" t="n">
        <v>1890</v>
      </c>
    </row>
    <row r="70" customFormat="false" ht="15" hidden="false" customHeight="false" outlineLevel="0" collapsed="false">
      <c r="A70" s="0" t="s">
        <v>187</v>
      </c>
      <c r="B70" s="0" t="s">
        <v>188</v>
      </c>
      <c r="C70" s="0" t="s">
        <v>73</v>
      </c>
      <c r="D70" s="0" t="s">
        <v>119</v>
      </c>
      <c r="E70" s="0" t="s">
        <v>50</v>
      </c>
      <c r="F70" s="3" t="n">
        <v>490</v>
      </c>
      <c r="G70" s="3" t="n">
        <v>700</v>
      </c>
    </row>
    <row r="71" customFormat="false" ht="15" hidden="false" customHeight="false" outlineLevel="0" collapsed="false">
      <c r="A71" s="0" t="s">
        <v>189</v>
      </c>
      <c r="B71" s="0" t="s">
        <v>190</v>
      </c>
      <c r="C71" s="0" t="s">
        <v>23</v>
      </c>
      <c r="D71" s="0" t="s">
        <v>46</v>
      </c>
      <c r="E71" s="0" t="s">
        <v>12</v>
      </c>
      <c r="F71" s="3" t="n">
        <v>3420</v>
      </c>
      <c r="G71" s="3" t="n">
        <v>4820</v>
      </c>
    </row>
    <row r="72" customFormat="false" ht="15" hidden="false" customHeight="false" outlineLevel="0" collapsed="false">
      <c r="A72" s="0" t="s">
        <v>191</v>
      </c>
      <c r="B72" s="0" t="s">
        <v>192</v>
      </c>
      <c r="C72" s="0" t="s">
        <v>53</v>
      </c>
      <c r="D72" s="0" t="s">
        <v>24</v>
      </c>
      <c r="E72" s="0" t="s">
        <v>12</v>
      </c>
      <c r="F72" s="3" t="n">
        <v>7950</v>
      </c>
      <c r="G72" s="3" t="n">
        <v>11480</v>
      </c>
    </row>
    <row r="73" customFormat="false" ht="15" hidden="false" customHeight="false" outlineLevel="0" collapsed="false">
      <c r="A73" s="0" t="s">
        <v>193</v>
      </c>
      <c r="B73" s="0" t="s">
        <v>194</v>
      </c>
      <c r="C73" s="0" t="s">
        <v>53</v>
      </c>
      <c r="D73" s="0" t="s">
        <v>54</v>
      </c>
      <c r="E73" s="0" t="s">
        <v>25</v>
      </c>
      <c r="F73" s="3" t="n">
        <v>13550</v>
      </c>
      <c r="G73" s="3" t="n">
        <v>19030</v>
      </c>
    </row>
    <row r="74" customFormat="false" ht="15" hidden="false" customHeight="false" outlineLevel="0" collapsed="false">
      <c r="A74" s="0" t="s">
        <v>195</v>
      </c>
      <c r="B74" s="0" t="s">
        <v>196</v>
      </c>
      <c r="C74" s="0" t="s">
        <v>66</v>
      </c>
      <c r="D74" s="0" t="s">
        <v>197</v>
      </c>
      <c r="E74" s="0" t="s">
        <v>50</v>
      </c>
      <c r="F74" s="3" t="n">
        <v>1080</v>
      </c>
      <c r="G74" s="3" t="n">
        <v>1470</v>
      </c>
    </row>
    <row r="75" customFormat="false" ht="15" hidden="false" customHeight="false" outlineLevel="0" collapsed="false">
      <c r="A75" s="0" t="s">
        <v>198</v>
      </c>
      <c r="B75" s="0" t="s">
        <v>199</v>
      </c>
      <c r="C75" s="0" t="s">
        <v>53</v>
      </c>
      <c r="D75" s="0" t="s">
        <v>54</v>
      </c>
      <c r="E75" s="0" t="s">
        <v>12</v>
      </c>
      <c r="F75" s="3" t="n">
        <v>8080</v>
      </c>
      <c r="G75" s="3" t="n">
        <v>10490</v>
      </c>
    </row>
    <row r="76" customFormat="false" ht="15" hidden="false" customHeight="false" outlineLevel="0" collapsed="false">
      <c r="A76" s="0" t="s">
        <v>200</v>
      </c>
      <c r="B76" s="0" t="s">
        <v>201</v>
      </c>
      <c r="C76" s="0" t="s">
        <v>19</v>
      </c>
      <c r="D76" s="0" t="s">
        <v>129</v>
      </c>
      <c r="E76" s="0" t="s">
        <v>12</v>
      </c>
      <c r="F76" s="3" t="n">
        <v>860</v>
      </c>
      <c r="G76" s="3" t="n">
        <v>1040</v>
      </c>
    </row>
    <row r="77" customFormat="false" ht="15" hidden="false" customHeight="false" outlineLevel="0" collapsed="false">
      <c r="A77" s="0" t="s">
        <v>202</v>
      </c>
      <c r="B77" s="0" t="s">
        <v>203</v>
      </c>
      <c r="C77" s="0" t="s">
        <v>39</v>
      </c>
      <c r="D77" s="0" t="s">
        <v>150</v>
      </c>
      <c r="E77" s="0" t="s">
        <v>25</v>
      </c>
      <c r="F77" s="3" t="n">
        <v>1140</v>
      </c>
      <c r="G77" s="3" t="n">
        <v>1630</v>
      </c>
    </row>
    <row r="78" customFormat="false" ht="15" hidden="false" customHeight="false" outlineLevel="0" collapsed="false">
      <c r="A78" s="0" t="s">
        <v>204</v>
      </c>
      <c r="B78" s="0" t="s">
        <v>205</v>
      </c>
      <c r="C78" s="0" t="s">
        <v>10</v>
      </c>
      <c r="D78" s="0" t="s">
        <v>206</v>
      </c>
      <c r="E78" s="0" t="s">
        <v>25</v>
      </c>
      <c r="F78" s="3" t="n">
        <v>980</v>
      </c>
      <c r="G78" s="3" t="n">
        <v>1410</v>
      </c>
    </row>
    <row r="79" customFormat="false" ht="15" hidden="false" customHeight="false" outlineLevel="0" collapsed="false">
      <c r="A79" s="0" t="s">
        <v>207</v>
      </c>
      <c r="B79" s="0" t="s">
        <v>208</v>
      </c>
      <c r="C79" s="0" t="s">
        <v>23</v>
      </c>
      <c r="D79" s="0" t="s">
        <v>49</v>
      </c>
      <c r="E79" s="0" t="s">
        <v>12</v>
      </c>
      <c r="F79" s="3" t="n">
        <v>2190</v>
      </c>
      <c r="G79" s="3" t="n">
        <v>2590</v>
      </c>
    </row>
    <row r="80" customFormat="false" ht="15" hidden="false" customHeight="false" outlineLevel="0" collapsed="false">
      <c r="A80" s="0" t="s">
        <v>209</v>
      </c>
      <c r="B80" s="0" t="s">
        <v>210</v>
      </c>
      <c r="C80" s="0" t="s">
        <v>10</v>
      </c>
      <c r="D80" s="0" t="s">
        <v>211</v>
      </c>
      <c r="E80" s="0" t="s">
        <v>12</v>
      </c>
      <c r="F80" s="3" t="n">
        <v>880</v>
      </c>
      <c r="G80" s="3" t="n">
        <v>1090</v>
      </c>
    </row>
    <row r="81" customFormat="false" ht="15" hidden="false" customHeight="false" outlineLevel="0" collapsed="false">
      <c r="A81" s="0" t="s">
        <v>212</v>
      </c>
      <c r="B81" s="0" t="s">
        <v>213</v>
      </c>
      <c r="C81" s="0" t="s">
        <v>15</v>
      </c>
      <c r="D81" s="0" t="s">
        <v>214</v>
      </c>
      <c r="E81" s="0" t="s">
        <v>12</v>
      </c>
      <c r="F81" s="3" t="n">
        <v>3380</v>
      </c>
      <c r="G81" s="3" t="n">
        <v>4260</v>
      </c>
    </row>
    <row r="82" customFormat="false" ht="15" hidden="false" customHeight="false" outlineLevel="0" collapsed="false">
      <c r="A82" s="0" t="s">
        <v>215</v>
      </c>
      <c r="B82" s="0" t="s">
        <v>216</v>
      </c>
      <c r="C82" s="0" t="s">
        <v>66</v>
      </c>
      <c r="D82" s="0" t="s">
        <v>197</v>
      </c>
      <c r="E82" s="0" t="s">
        <v>12</v>
      </c>
      <c r="F82" s="3" t="n">
        <v>400</v>
      </c>
      <c r="G82" s="3" t="n">
        <v>560</v>
      </c>
    </row>
    <row r="83" customFormat="false" ht="15" hidden="false" customHeight="false" outlineLevel="0" collapsed="false">
      <c r="A83" s="0" t="s">
        <v>217</v>
      </c>
      <c r="B83" s="0" t="s">
        <v>218</v>
      </c>
      <c r="C83" s="0" t="s">
        <v>23</v>
      </c>
      <c r="D83" s="0" t="s">
        <v>46</v>
      </c>
      <c r="E83" s="0" t="s">
        <v>25</v>
      </c>
      <c r="F83" s="3" t="n">
        <v>2530</v>
      </c>
      <c r="G83" s="3" t="n">
        <v>3430</v>
      </c>
    </row>
    <row r="84" customFormat="false" ht="15" hidden="false" customHeight="false" outlineLevel="0" collapsed="false">
      <c r="A84" s="0" t="s">
        <v>219</v>
      </c>
      <c r="B84" s="0" t="s">
        <v>220</v>
      </c>
      <c r="C84" s="0" t="s">
        <v>66</v>
      </c>
      <c r="D84" s="0" t="s">
        <v>67</v>
      </c>
      <c r="E84" s="0" t="s">
        <v>25</v>
      </c>
      <c r="F84" s="3" t="n">
        <v>850</v>
      </c>
      <c r="G84" s="3" t="n">
        <v>1220</v>
      </c>
    </row>
    <row r="85" customFormat="false" ht="15" hidden="false" customHeight="false" outlineLevel="0" collapsed="false">
      <c r="A85" s="0" t="s">
        <v>221</v>
      </c>
      <c r="B85" s="0" t="s">
        <v>222</v>
      </c>
      <c r="C85" s="0" t="s">
        <v>19</v>
      </c>
      <c r="D85" s="0" t="s">
        <v>43</v>
      </c>
      <c r="E85" s="0" t="s">
        <v>12</v>
      </c>
      <c r="F85" s="3" t="n">
        <v>1280</v>
      </c>
      <c r="G85" s="3" t="n">
        <v>1570</v>
      </c>
    </row>
    <row r="86" customFormat="false" ht="15" hidden="false" customHeight="false" outlineLevel="0" collapsed="false">
      <c r="A86" s="0" t="s">
        <v>223</v>
      </c>
      <c r="B86" s="0" t="s">
        <v>224</v>
      </c>
      <c r="C86" s="0" t="s">
        <v>39</v>
      </c>
      <c r="D86" s="0" t="s">
        <v>43</v>
      </c>
      <c r="E86" s="0" t="s">
        <v>25</v>
      </c>
      <c r="F86" s="3" t="n">
        <v>210</v>
      </c>
      <c r="G86" s="3" t="n">
        <v>260</v>
      </c>
    </row>
    <row r="87" customFormat="false" ht="15" hidden="false" customHeight="false" outlineLevel="0" collapsed="false">
      <c r="A87" s="0" t="s">
        <v>225</v>
      </c>
      <c r="B87" s="0" t="s">
        <v>226</v>
      </c>
      <c r="C87" s="0" t="s">
        <v>73</v>
      </c>
      <c r="D87" s="0" t="s">
        <v>119</v>
      </c>
      <c r="E87" s="0" t="s">
        <v>50</v>
      </c>
      <c r="F87" s="3" t="n">
        <v>290</v>
      </c>
      <c r="G87" s="3" t="n">
        <v>400</v>
      </c>
    </row>
    <row r="88" customFormat="false" ht="15" hidden="false" customHeight="false" outlineLevel="0" collapsed="false">
      <c r="A88" s="0" t="s">
        <v>227</v>
      </c>
      <c r="B88" s="0" t="s">
        <v>228</v>
      </c>
      <c r="C88" s="0" t="s">
        <v>53</v>
      </c>
      <c r="D88" s="0" t="s">
        <v>141</v>
      </c>
      <c r="E88" s="0" t="s">
        <v>50</v>
      </c>
      <c r="F88" s="3" t="n">
        <v>20130</v>
      </c>
      <c r="G88" s="3" t="n">
        <v>26680</v>
      </c>
    </row>
    <row r="89" customFormat="false" ht="15" hidden="false" customHeight="false" outlineLevel="0" collapsed="false">
      <c r="A89" s="0" t="s">
        <v>229</v>
      </c>
      <c r="B89" s="0" t="s">
        <v>230</v>
      </c>
      <c r="C89" s="0" t="s">
        <v>10</v>
      </c>
      <c r="D89" s="0" t="s">
        <v>231</v>
      </c>
      <c r="E89" s="0" t="s">
        <v>12</v>
      </c>
      <c r="F89" s="3" t="n">
        <v>2540</v>
      </c>
      <c r="G89" s="3" t="n">
        <v>3160</v>
      </c>
    </row>
    <row r="90" customFormat="false" ht="15" hidden="false" customHeight="false" outlineLevel="0" collapsed="false">
      <c r="A90" s="0" t="s">
        <v>232</v>
      </c>
      <c r="B90" s="0" t="s">
        <v>233</v>
      </c>
      <c r="C90" s="0" t="s">
        <v>15</v>
      </c>
      <c r="D90" s="0" t="s">
        <v>234</v>
      </c>
      <c r="E90" s="0" t="s">
        <v>50</v>
      </c>
      <c r="F90" s="3" t="n">
        <v>2620</v>
      </c>
      <c r="G90" s="3" t="n">
        <v>3420</v>
      </c>
    </row>
    <row r="91" customFormat="false" ht="15" hidden="false" customHeight="false" outlineLevel="0" collapsed="false">
      <c r="A91" s="0" t="s">
        <v>235</v>
      </c>
      <c r="B91" s="0" t="s">
        <v>236</v>
      </c>
      <c r="C91" s="0" t="s">
        <v>28</v>
      </c>
      <c r="D91" s="0" t="s">
        <v>63</v>
      </c>
      <c r="E91" s="0" t="s">
        <v>50</v>
      </c>
      <c r="F91" s="3" t="n">
        <v>2020</v>
      </c>
      <c r="G91" s="3" t="n">
        <v>2400</v>
      </c>
    </row>
    <row r="92" customFormat="false" ht="15" hidden="false" customHeight="false" outlineLevel="0" collapsed="false">
      <c r="A92" s="0" t="s">
        <v>237</v>
      </c>
      <c r="B92" s="0" t="s">
        <v>238</v>
      </c>
      <c r="C92" s="0" t="s">
        <v>23</v>
      </c>
      <c r="D92" s="0" t="s">
        <v>94</v>
      </c>
      <c r="E92" s="0" t="s">
        <v>12</v>
      </c>
      <c r="F92" s="3" t="n">
        <v>550</v>
      </c>
      <c r="G92" s="3" t="n">
        <v>720</v>
      </c>
    </row>
    <row r="93" customFormat="false" ht="15" hidden="false" customHeight="false" outlineLevel="0" collapsed="false">
      <c r="A93" s="0" t="s">
        <v>239</v>
      </c>
      <c r="B93" s="0" t="s">
        <v>240</v>
      </c>
      <c r="C93" s="0" t="s">
        <v>15</v>
      </c>
      <c r="D93" s="0" t="s">
        <v>54</v>
      </c>
      <c r="E93" s="0" t="s">
        <v>12</v>
      </c>
      <c r="F93" s="3" t="n">
        <v>1440</v>
      </c>
      <c r="G93" s="3" t="n">
        <v>1750</v>
      </c>
    </row>
    <row r="94" customFormat="false" ht="15" hidden="false" customHeight="false" outlineLevel="0" collapsed="false">
      <c r="A94" s="0" t="s">
        <v>241</v>
      </c>
      <c r="B94" s="0" t="s">
        <v>242</v>
      </c>
      <c r="C94" s="0" t="s">
        <v>66</v>
      </c>
      <c r="D94" s="0" t="s">
        <v>97</v>
      </c>
      <c r="E94" s="0" t="s">
        <v>12</v>
      </c>
      <c r="F94" s="3" t="n">
        <v>2060</v>
      </c>
      <c r="G94" s="3" t="n">
        <v>2720</v>
      </c>
    </row>
    <row r="95" customFormat="false" ht="15" hidden="false" customHeight="false" outlineLevel="0" collapsed="false">
      <c r="A95" s="0" t="s">
        <v>243</v>
      </c>
      <c r="B95" s="0" t="s">
        <v>244</v>
      </c>
      <c r="C95" s="0" t="s">
        <v>66</v>
      </c>
      <c r="D95" s="0" t="s">
        <v>67</v>
      </c>
      <c r="E95" s="0" t="s">
        <v>12</v>
      </c>
      <c r="F95" s="3" t="n">
        <v>830</v>
      </c>
      <c r="G95" s="3" t="n">
        <v>1170</v>
      </c>
    </row>
    <row r="96" customFormat="false" ht="15" hidden="false" customHeight="false" outlineLevel="0" collapsed="false">
      <c r="A96" s="0" t="s">
        <v>245</v>
      </c>
      <c r="B96" s="0" t="s">
        <v>246</v>
      </c>
      <c r="C96" s="0" t="s">
        <v>15</v>
      </c>
      <c r="D96" s="0" t="s">
        <v>97</v>
      </c>
      <c r="E96" s="0" t="s">
        <v>12</v>
      </c>
      <c r="F96" s="3" t="n">
        <v>1680</v>
      </c>
      <c r="G96" s="3" t="n">
        <v>2280</v>
      </c>
    </row>
    <row r="97" customFormat="false" ht="15" hidden="false" customHeight="false" outlineLevel="0" collapsed="false">
      <c r="A97" s="0" t="s">
        <v>247</v>
      </c>
      <c r="B97" s="0" t="s">
        <v>248</v>
      </c>
      <c r="C97" s="0" t="s">
        <v>10</v>
      </c>
      <c r="D97" s="0" t="s">
        <v>206</v>
      </c>
      <c r="E97" s="0" t="s">
        <v>50</v>
      </c>
      <c r="F97" s="3" t="n">
        <v>830</v>
      </c>
      <c r="G97" s="3" t="n">
        <v>1000</v>
      </c>
    </row>
    <row r="98" customFormat="false" ht="15" hidden="false" customHeight="false" outlineLevel="0" collapsed="false">
      <c r="A98" s="0" t="s">
        <v>249</v>
      </c>
      <c r="B98" s="0" t="s">
        <v>250</v>
      </c>
      <c r="C98" s="0" t="s">
        <v>10</v>
      </c>
      <c r="D98" s="0" t="s">
        <v>206</v>
      </c>
      <c r="E98" s="0" t="s">
        <v>25</v>
      </c>
      <c r="F98" s="3" t="n">
        <v>2170</v>
      </c>
      <c r="G98" s="3" t="n">
        <v>2800</v>
      </c>
    </row>
    <row r="99" customFormat="false" ht="15" hidden="false" customHeight="false" outlineLevel="0" collapsed="false">
      <c r="A99" s="0" t="s">
        <v>251</v>
      </c>
      <c r="B99" s="0" t="s">
        <v>252</v>
      </c>
      <c r="C99" s="0" t="s">
        <v>73</v>
      </c>
      <c r="D99" s="0" t="s">
        <v>122</v>
      </c>
      <c r="E99" s="0" t="s">
        <v>50</v>
      </c>
      <c r="F99" s="3" t="n">
        <v>130</v>
      </c>
      <c r="G99" s="3" t="n">
        <v>170</v>
      </c>
    </row>
    <row r="100" customFormat="false" ht="15" hidden="false" customHeight="false" outlineLevel="0" collapsed="false">
      <c r="A100" s="0" t="s">
        <v>253</v>
      </c>
      <c r="B100" s="0" t="s">
        <v>254</v>
      </c>
      <c r="C100" s="0" t="s">
        <v>15</v>
      </c>
      <c r="D100" s="0" t="s">
        <v>16</v>
      </c>
      <c r="E100" s="0" t="s">
        <v>25</v>
      </c>
      <c r="F100" s="3" t="n">
        <v>2690</v>
      </c>
      <c r="G100" s="3" t="n">
        <v>3590</v>
      </c>
    </row>
    <row r="101" customFormat="false" ht="15" hidden="false" customHeight="false" outlineLevel="0" collapsed="false">
      <c r="A101" s="0" t="s">
        <v>255</v>
      </c>
      <c r="B101" s="0" t="s">
        <v>256</v>
      </c>
      <c r="C101" s="0" t="s">
        <v>53</v>
      </c>
      <c r="D101" s="0" t="s">
        <v>24</v>
      </c>
      <c r="E101" s="0" t="s">
        <v>12</v>
      </c>
      <c r="F101" s="3" t="n">
        <v>11530</v>
      </c>
      <c r="G101" s="3" t="n">
        <v>15650</v>
      </c>
    </row>
    <row r="102" customFormat="false" ht="15" hidden="false" customHeight="false" outlineLevel="0" collapsed="false">
      <c r="A102" s="0" t="s">
        <v>257</v>
      </c>
      <c r="B102" s="0" t="s">
        <v>258</v>
      </c>
      <c r="C102" s="0" t="s">
        <v>10</v>
      </c>
      <c r="D102" s="0" t="s">
        <v>259</v>
      </c>
      <c r="E102" s="0" t="s">
        <v>12</v>
      </c>
      <c r="F102" s="3" t="n">
        <v>360</v>
      </c>
      <c r="G102" s="3" t="n">
        <v>500</v>
      </c>
    </row>
    <row r="103" customFormat="false" ht="15" hidden="false" customHeight="false" outlineLevel="0" collapsed="false">
      <c r="A103" s="0" t="s">
        <v>260</v>
      </c>
      <c r="B103" s="0" t="s">
        <v>261</v>
      </c>
      <c r="C103" s="0" t="s">
        <v>53</v>
      </c>
      <c r="D103" s="0" t="s">
        <v>54</v>
      </c>
      <c r="E103" s="0" t="s">
        <v>12</v>
      </c>
      <c r="F103" s="3" t="n">
        <v>13560</v>
      </c>
      <c r="G103" s="3" t="n">
        <v>16780</v>
      </c>
    </row>
    <row r="104" customFormat="false" ht="15" hidden="false" customHeight="false" outlineLevel="0" collapsed="false">
      <c r="A104" s="0" t="s">
        <v>262</v>
      </c>
      <c r="B104" s="0" t="s">
        <v>88</v>
      </c>
      <c r="C104" s="0" t="s">
        <v>28</v>
      </c>
      <c r="D104" s="0" t="s">
        <v>89</v>
      </c>
      <c r="E104" s="0" t="s">
        <v>50</v>
      </c>
      <c r="F104" s="3" t="n">
        <v>1800</v>
      </c>
      <c r="G104" s="3" t="n">
        <v>2190</v>
      </c>
    </row>
    <row r="105" customFormat="false" ht="15" hidden="false" customHeight="false" outlineLevel="0" collapsed="false">
      <c r="A105" s="0" t="s">
        <v>263</v>
      </c>
      <c r="B105" s="0" t="s">
        <v>264</v>
      </c>
      <c r="C105" s="0" t="s">
        <v>53</v>
      </c>
      <c r="D105" s="0" t="s">
        <v>182</v>
      </c>
      <c r="E105" s="0" t="s">
        <v>12</v>
      </c>
      <c r="F105" s="3" t="n">
        <v>9990</v>
      </c>
      <c r="G105" s="3" t="n">
        <v>12980</v>
      </c>
    </row>
    <row r="106" customFormat="false" ht="15" hidden="false" customHeight="false" outlineLevel="0" collapsed="false">
      <c r="A106" s="0" t="s">
        <v>265</v>
      </c>
      <c r="B106" s="0" t="s">
        <v>266</v>
      </c>
      <c r="C106" s="0" t="s">
        <v>73</v>
      </c>
      <c r="D106" s="0" t="s">
        <v>122</v>
      </c>
      <c r="E106" s="0" t="s">
        <v>50</v>
      </c>
      <c r="F106" s="3" t="n">
        <v>200</v>
      </c>
      <c r="G106" s="3" t="n">
        <v>270</v>
      </c>
    </row>
    <row r="107" customFormat="false" ht="15" hidden="false" customHeight="false" outlineLevel="0" collapsed="false">
      <c r="A107" s="0" t="s">
        <v>267</v>
      </c>
      <c r="B107" s="0" t="s">
        <v>268</v>
      </c>
      <c r="C107" s="0" t="s">
        <v>66</v>
      </c>
      <c r="D107" s="0" t="s">
        <v>167</v>
      </c>
      <c r="E107" s="0" t="s">
        <v>12</v>
      </c>
      <c r="F107" s="3" t="n">
        <v>140</v>
      </c>
      <c r="G107" s="3" t="n">
        <v>170</v>
      </c>
    </row>
    <row r="108" customFormat="false" ht="15" hidden="false" customHeight="false" outlineLevel="0" collapsed="false">
      <c r="A108" s="0" t="s">
        <v>269</v>
      </c>
      <c r="B108" s="0" t="s">
        <v>270</v>
      </c>
      <c r="C108" s="0" t="s">
        <v>15</v>
      </c>
      <c r="D108" s="0" t="s">
        <v>16</v>
      </c>
      <c r="E108" s="0" t="s">
        <v>12</v>
      </c>
      <c r="F108" s="3" t="n">
        <v>1860</v>
      </c>
      <c r="G108" s="3" t="n">
        <v>2410</v>
      </c>
    </row>
    <row r="109" customFormat="false" ht="15" hidden="false" customHeight="false" outlineLevel="0" collapsed="false">
      <c r="A109" s="0" t="s">
        <v>271</v>
      </c>
      <c r="B109" s="0" t="s">
        <v>272</v>
      </c>
      <c r="C109" s="0" t="s">
        <v>28</v>
      </c>
      <c r="D109" s="0" t="s">
        <v>29</v>
      </c>
      <c r="E109" s="0" t="s">
        <v>12</v>
      </c>
      <c r="F109" s="3" t="n">
        <v>430</v>
      </c>
      <c r="G109" s="3" t="n">
        <v>600</v>
      </c>
    </row>
    <row r="110" customFormat="false" ht="15" hidden="false" customHeight="false" outlineLevel="0" collapsed="false">
      <c r="A110" s="0" t="s">
        <v>273</v>
      </c>
      <c r="B110" s="0" t="s">
        <v>274</v>
      </c>
      <c r="C110" s="0" t="s">
        <v>23</v>
      </c>
      <c r="D110" s="0" t="s">
        <v>94</v>
      </c>
      <c r="E110" s="0" t="s">
        <v>12</v>
      </c>
      <c r="F110" s="3" t="n">
        <v>1640</v>
      </c>
      <c r="G110" s="3" t="n">
        <v>2240</v>
      </c>
    </row>
    <row r="111" customFormat="false" ht="15" hidden="false" customHeight="false" outlineLevel="0" collapsed="false">
      <c r="A111" s="0" t="s">
        <v>275</v>
      </c>
      <c r="B111" s="0" t="s">
        <v>276</v>
      </c>
      <c r="C111" s="0" t="s">
        <v>15</v>
      </c>
      <c r="D111" s="0" t="s">
        <v>16</v>
      </c>
      <c r="E111" s="0" t="s">
        <v>12</v>
      </c>
      <c r="F111" s="3" t="n">
        <v>2970</v>
      </c>
      <c r="G111" s="3" t="n">
        <v>4240</v>
      </c>
    </row>
    <row r="112" customFormat="false" ht="15" hidden="false" customHeight="false" outlineLevel="0" collapsed="false">
      <c r="A112" s="0" t="s">
        <v>277</v>
      </c>
      <c r="B112" s="0" t="s">
        <v>278</v>
      </c>
      <c r="C112" s="0" t="s">
        <v>23</v>
      </c>
      <c r="D112" s="0" t="s">
        <v>46</v>
      </c>
      <c r="E112" s="0" t="s">
        <v>12</v>
      </c>
      <c r="F112" s="3" t="n">
        <v>1530</v>
      </c>
      <c r="G112" s="3" t="n">
        <v>1960</v>
      </c>
    </row>
    <row r="113" customFormat="false" ht="15" hidden="false" customHeight="false" outlineLevel="0" collapsed="false">
      <c r="A113" s="0" t="s">
        <v>279</v>
      </c>
      <c r="B113" s="0" t="s">
        <v>280</v>
      </c>
      <c r="C113" s="0" t="s">
        <v>53</v>
      </c>
      <c r="D113" s="0" t="s">
        <v>107</v>
      </c>
      <c r="E113" s="0" t="s">
        <v>50</v>
      </c>
      <c r="F113" s="3" t="n">
        <v>10530</v>
      </c>
      <c r="G113" s="3" t="n">
        <v>12970</v>
      </c>
    </row>
    <row r="114" customFormat="false" ht="15" hidden="false" customHeight="false" outlineLevel="0" collapsed="false">
      <c r="A114" s="0" t="s">
        <v>281</v>
      </c>
      <c r="B114" s="0" t="s">
        <v>282</v>
      </c>
      <c r="C114" s="0" t="s">
        <v>66</v>
      </c>
      <c r="D114" s="0" t="s">
        <v>167</v>
      </c>
      <c r="E114" s="0" t="s">
        <v>12</v>
      </c>
      <c r="F114" s="3" t="n">
        <v>630</v>
      </c>
      <c r="G114" s="3" t="n">
        <v>770</v>
      </c>
    </row>
    <row r="115" customFormat="false" ht="15" hidden="false" customHeight="false" outlineLevel="0" collapsed="false">
      <c r="A115" s="0" t="s">
        <v>283</v>
      </c>
      <c r="B115" s="0" t="s">
        <v>284</v>
      </c>
      <c r="C115" s="0" t="s">
        <v>53</v>
      </c>
      <c r="D115" s="0" t="s">
        <v>107</v>
      </c>
      <c r="E115" s="0" t="s">
        <v>12</v>
      </c>
      <c r="F115" s="3" t="n">
        <v>13700</v>
      </c>
      <c r="G115" s="3" t="n">
        <v>18970</v>
      </c>
    </row>
    <row r="116" customFormat="false" ht="15" hidden="false" customHeight="false" outlineLevel="0" collapsed="false">
      <c r="A116" s="0" t="s">
        <v>285</v>
      </c>
      <c r="B116" s="0" t="s">
        <v>286</v>
      </c>
      <c r="C116" s="0" t="s">
        <v>23</v>
      </c>
      <c r="D116" s="0" t="s">
        <v>94</v>
      </c>
      <c r="E116" s="0" t="s">
        <v>12</v>
      </c>
      <c r="F116" s="3" t="n">
        <v>820</v>
      </c>
      <c r="G116" s="3" t="n">
        <v>980</v>
      </c>
    </row>
    <row r="117" customFormat="false" ht="15" hidden="false" customHeight="false" outlineLevel="0" collapsed="false">
      <c r="A117" s="0" t="s">
        <v>287</v>
      </c>
      <c r="B117" s="0" t="s">
        <v>288</v>
      </c>
      <c r="C117" s="0" t="s">
        <v>53</v>
      </c>
      <c r="D117" s="0" t="s">
        <v>141</v>
      </c>
      <c r="E117" s="0" t="s">
        <v>12</v>
      </c>
      <c r="F117" s="3" t="n">
        <v>8100</v>
      </c>
      <c r="G117" s="3" t="n">
        <v>10540</v>
      </c>
    </row>
    <row r="118" customFormat="false" ht="15" hidden="false" customHeight="false" outlineLevel="0" collapsed="false">
      <c r="A118" s="0" t="s">
        <v>289</v>
      </c>
      <c r="B118" s="0" t="s">
        <v>290</v>
      </c>
      <c r="C118" s="0" t="s">
        <v>15</v>
      </c>
      <c r="D118" s="0" t="s">
        <v>74</v>
      </c>
      <c r="E118" s="0" t="s">
        <v>50</v>
      </c>
      <c r="F118" s="3" t="n">
        <v>2090</v>
      </c>
      <c r="G118" s="3" t="n">
        <v>3000</v>
      </c>
    </row>
    <row r="119" customFormat="false" ht="15" hidden="false" customHeight="false" outlineLevel="0" collapsed="false">
      <c r="A119" s="0" t="s">
        <v>291</v>
      </c>
      <c r="B119" s="0" t="s">
        <v>292</v>
      </c>
      <c r="C119" s="0" t="s">
        <v>53</v>
      </c>
      <c r="D119" s="0" t="s">
        <v>54</v>
      </c>
      <c r="E119" s="0" t="s">
        <v>25</v>
      </c>
      <c r="F119" s="3" t="n">
        <v>11480</v>
      </c>
      <c r="G119" s="3" t="n">
        <v>15100</v>
      </c>
    </row>
    <row r="120" customFormat="false" ht="15" hidden="false" customHeight="false" outlineLevel="0" collapsed="false">
      <c r="A120" s="0" t="s">
        <v>293</v>
      </c>
      <c r="B120" s="0" t="s">
        <v>294</v>
      </c>
      <c r="C120" s="0" t="s">
        <v>19</v>
      </c>
      <c r="D120" s="0" t="s">
        <v>20</v>
      </c>
      <c r="E120" s="0" t="s">
        <v>25</v>
      </c>
      <c r="F120" s="3" t="n">
        <v>450</v>
      </c>
      <c r="G120" s="3" t="n">
        <v>610</v>
      </c>
    </row>
    <row r="121" customFormat="false" ht="15" hidden="false" customHeight="false" outlineLevel="0" collapsed="false">
      <c r="A121" s="0" t="s">
        <v>295</v>
      </c>
      <c r="B121" s="0" t="s">
        <v>296</v>
      </c>
      <c r="C121" s="0" t="s">
        <v>73</v>
      </c>
      <c r="D121" s="0" t="s">
        <v>119</v>
      </c>
      <c r="E121" s="0" t="s">
        <v>12</v>
      </c>
      <c r="F121" s="3" t="n">
        <v>460</v>
      </c>
      <c r="G121" s="3" t="n">
        <v>590</v>
      </c>
    </row>
    <row r="122" customFormat="false" ht="15" hidden="false" customHeight="false" outlineLevel="0" collapsed="false">
      <c r="A122" s="0" t="s">
        <v>297</v>
      </c>
      <c r="B122" s="0" t="s">
        <v>298</v>
      </c>
      <c r="C122" s="0" t="s">
        <v>23</v>
      </c>
      <c r="D122" s="0" t="s">
        <v>299</v>
      </c>
      <c r="E122" s="0" t="s">
        <v>12</v>
      </c>
      <c r="F122" s="3" t="n">
        <v>570</v>
      </c>
      <c r="G122" s="3" t="n">
        <v>680</v>
      </c>
    </row>
    <row r="123" customFormat="false" ht="15" hidden="false" customHeight="false" outlineLevel="0" collapsed="false">
      <c r="A123" s="0" t="s">
        <v>300</v>
      </c>
      <c r="B123" s="0" t="s">
        <v>301</v>
      </c>
      <c r="C123" s="0" t="s">
        <v>15</v>
      </c>
      <c r="D123" s="0" t="s">
        <v>234</v>
      </c>
      <c r="E123" s="0" t="s">
        <v>12</v>
      </c>
      <c r="F123" s="3" t="n">
        <v>2100</v>
      </c>
      <c r="G123" s="3" t="n">
        <v>2550</v>
      </c>
    </row>
    <row r="124" customFormat="false" ht="15" hidden="false" customHeight="false" outlineLevel="0" collapsed="false">
      <c r="A124" s="0" t="s">
        <v>302</v>
      </c>
      <c r="B124" s="0" t="s">
        <v>303</v>
      </c>
      <c r="C124" s="0" t="s">
        <v>53</v>
      </c>
      <c r="D124" s="0" t="s">
        <v>107</v>
      </c>
      <c r="E124" s="0" t="s">
        <v>50</v>
      </c>
      <c r="F124" s="3" t="n">
        <v>8090</v>
      </c>
      <c r="G124" s="3" t="n">
        <v>10360</v>
      </c>
    </row>
    <row r="125" customFormat="false" ht="15" hidden="false" customHeight="false" outlineLevel="0" collapsed="false">
      <c r="A125" s="0" t="s">
        <v>304</v>
      </c>
      <c r="B125" s="0" t="s">
        <v>305</v>
      </c>
      <c r="C125" s="0" t="s">
        <v>73</v>
      </c>
      <c r="D125" s="0" t="s">
        <v>119</v>
      </c>
      <c r="E125" s="0" t="s">
        <v>25</v>
      </c>
      <c r="F125" s="3" t="n">
        <v>80</v>
      </c>
      <c r="G125" s="3" t="n">
        <v>100</v>
      </c>
    </row>
    <row r="126" customFormat="false" ht="15" hidden="false" customHeight="false" outlineLevel="0" collapsed="false">
      <c r="A126" s="0" t="s">
        <v>306</v>
      </c>
      <c r="B126" s="0" t="s">
        <v>307</v>
      </c>
      <c r="C126" s="0" t="s">
        <v>15</v>
      </c>
      <c r="D126" s="0" t="s">
        <v>214</v>
      </c>
      <c r="E126" s="0" t="s">
        <v>12</v>
      </c>
      <c r="F126" s="3" t="n">
        <v>730</v>
      </c>
      <c r="G126" s="3" t="n">
        <v>1020</v>
      </c>
    </row>
    <row r="127" customFormat="false" ht="15" hidden="false" customHeight="false" outlineLevel="0" collapsed="false">
      <c r="A127" s="0" t="s">
        <v>308</v>
      </c>
      <c r="B127" s="0" t="s">
        <v>309</v>
      </c>
      <c r="C127" s="0" t="s">
        <v>73</v>
      </c>
      <c r="D127" s="0" t="s">
        <v>119</v>
      </c>
      <c r="E127" s="0" t="s">
        <v>50</v>
      </c>
      <c r="F127" s="3" t="n">
        <v>150</v>
      </c>
      <c r="G127" s="3" t="n">
        <v>190</v>
      </c>
    </row>
    <row r="128" customFormat="false" ht="15" hidden="false" customHeight="false" outlineLevel="0" collapsed="false">
      <c r="A128" s="0" t="s">
        <v>310</v>
      </c>
      <c r="B128" s="0" t="s">
        <v>311</v>
      </c>
      <c r="C128" s="0" t="s">
        <v>23</v>
      </c>
      <c r="D128" s="0" t="s">
        <v>24</v>
      </c>
      <c r="E128" s="0" t="s">
        <v>50</v>
      </c>
      <c r="F128" s="3" t="n">
        <v>480</v>
      </c>
      <c r="G128" s="3" t="n">
        <v>610</v>
      </c>
    </row>
    <row r="129" customFormat="false" ht="15" hidden="false" customHeight="false" outlineLevel="0" collapsed="false">
      <c r="A129" s="0" t="s">
        <v>312</v>
      </c>
      <c r="B129" s="0" t="s">
        <v>313</v>
      </c>
      <c r="C129" s="0" t="s">
        <v>39</v>
      </c>
      <c r="D129" s="0" t="s">
        <v>43</v>
      </c>
      <c r="E129" s="0" t="s">
        <v>25</v>
      </c>
      <c r="F129" s="3" t="n">
        <v>660</v>
      </c>
      <c r="G129" s="3" t="n">
        <v>830</v>
      </c>
    </row>
    <row r="130" customFormat="false" ht="15" hidden="false" customHeight="false" outlineLevel="0" collapsed="false">
      <c r="A130" s="0" t="s">
        <v>314</v>
      </c>
      <c r="B130" s="0" t="s">
        <v>315</v>
      </c>
      <c r="C130" s="0" t="s">
        <v>10</v>
      </c>
      <c r="D130" s="0" t="s">
        <v>211</v>
      </c>
      <c r="E130" s="0" t="s">
        <v>12</v>
      </c>
      <c r="F130" s="3" t="n">
        <v>2470</v>
      </c>
      <c r="G130" s="3" t="n">
        <v>3430</v>
      </c>
    </row>
    <row r="131" customFormat="false" ht="15" hidden="false" customHeight="false" outlineLevel="0" collapsed="false">
      <c r="A131" s="0" t="s">
        <v>316</v>
      </c>
      <c r="B131" s="0" t="s">
        <v>317</v>
      </c>
      <c r="C131" s="0" t="s">
        <v>66</v>
      </c>
      <c r="D131" s="0" t="s">
        <v>97</v>
      </c>
      <c r="E131" s="0" t="s">
        <v>12</v>
      </c>
      <c r="F131" s="3" t="n">
        <v>310</v>
      </c>
      <c r="G131" s="3" t="n">
        <v>400</v>
      </c>
    </row>
    <row r="132" customFormat="false" ht="15" hidden="false" customHeight="false" outlineLevel="0" collapsed="false">
      <c r="A132" s="0" t="s">
        <v>318</v>
      </c>
      <c r="B132" s="0" t="s">
        <v>99</v>
      </c>
      <c r="C132" s="0" t="s">
        <v>66</v>
      </c>
      <c r="D132" s="0" t="s">
        <v>67</v>
      </c>
      <c r="E132" s="0" t="s">
        <v>25</v>
      </c>
      <c r="F132" s="3" t="n">
        <v>1320</v>
      </c>
      <c r="G132" s="3" t="n">
        <v>1650</v>
      </c>
    </row>
    <row r="133" customFormat="false" ht="15" hidden="false" customHeight="false" outlineLevel="0" collapsed="false">
      <c r="A133" s="0" t="s">
        <v>319</v>
      </c>
      <c r="B133" s="0" t="s">
        <v>284</v>
      </c>
      <c r="C133" s="0" t="s">
        <v>53</v>
      </c>
      <c r="D133" s="0" t="s">
        <v>107</v>
      </c>
      <c r="E133" s="0" t="s">
        <v>12</v>
      </c>
      <c r="F133" s="3" t="n">
        <v>17580</v>
      </c>
      <c r="G133" s="3" t="n">
        <v>22710</v>
      </c>
    </row>
    <row r="134" customFormat="false" ht="15" hidden="false" customHeight="false" outlineLevel="0" collapsed="false">
      <c r="A134" s="0" t="s">
        <v>320</v>
      </c>
      <c r="B134" s="0" t="s">
        <v>321</v>
      </c>
      <c r="C134" s="0" t="s">
        <v>23</v>
      </c>
      <c r="D134" s="0" t="s">
        <v>60</v>
      </c>
      <c r="E134" s="0" t="s">
        <v>25</v>
      </c>
      <c r="F134" s="3" t="n">
        <v>410</v>
      </c>
      <c r="G134" s="3" t="n">
        <v>580</v>
      </c>
    </row>
    <row r="135" customFormat="false" ht="15" hidden="false" customHeight="false" outlineLevel="0" collapsed="false">
      <c r="A135" s="0" t="s">
        <v>322</v>
      </c>
      <c r="B135" s="0" t="s">
        <v>323</v>
      </c>
      <c r="C135" s="0" t="s">
        <v>66</v>
      </c>
      <c r="D135" s="0" t="s">
        <v>167</v>
      </c>
      <c r="E135" s="0" t="s">
        <v>25</v>
      </c>
      <c r="F135" s="3" t="n">
        <v>1680</v>
      </c>
      <c r="G135" s="3" t="n">
        <v>2190</v>
      </c>
    </row>
    <row r="136" customFormat="false" ht="15" hidden="false" customHeight="false" outlineLevel="0" collapsed="false">
      <c r="A136" s="0" t="s">
        <v>324</v>
      </c>
      <c r="B136" s="0" t="s">
        <v>325</v>
      </c>
      <c r="C136" s="0" t="s">
        <v>53</v>
      </c>
      <c r="D136" s="0" t="s">
        <v>132</v>
      </c>
      <c r="E136" s="0" t="s">
        <v>12</v>
      </c>
      <c r="F136" s="3" t="n">
        <v>16860</v>
      </c>
      <c r="G136" s="3" t="n">
        <v>19980</v>
      </c>
    </row>
    <row r="137" customFormat="false" ht="15" hidden="false" customHeight="false" outlineLevel="0" collapsed="false">
      <c r="A137" s="0" t="s">
        <v>326</v>
      </c>
      <c r="B137" s="0" t="s">
        <v>327</v>
      </c>
      <c r="C137" s="0" t="s">
        <v>53</v>
      </c>
      <c r="D137" s="0" t="s">
        <v>24</v>
      </c>
      <c r="E137" s="0" t="s">
        <v>12</v>
      </c>
      <c r="F137" s="3" t="n">
        <v>14080</v>
      </c>
      <c r="G137" s="3" t="n">
        <v>17510</v>
      </c>
    </row>
    <row r="138" customFormat="false" ht="15" hidden="false" customHeight="false" outlineLevel="0" collapsed="false">
      <c r="A138" s="0" t="s">
        <v>328</v>
      </c>
      <c r="B138" s="0" t="s">
        <v>329</v>
      </c>
      <c r="C138" s="0" t="s">
        <v>19</v>
      </c>
      <c r="D138" s="0" t="s">
        <v>330</v>
      </c>
      <c r="E138" s="0" t="s">
        <v>12</v>
      </c>
      <c r="F138" s="3" t="n">
        <v>2340</v>
      </c>
      <c r="G138" s="3" t="n">
        <v>3070</v>
      </c>
    </row>
    <row r="139" customFormat="false" ht="15" hidden="false" customHeight="false" outlineLevel="0" collapsed="false">
      <c r="A139" s="0" t="s">
        <v>331</v>
      </c>
      <c r="B139" s="0" t="s">
        <v>332</v>
      </c>
      <c r="C139" s="0" t="s">
        <v>28</v>
      </c>
      <c r="D139" s="0" t="s">
        <v>57</v>
      </c>
      <c r="E139" s="0" t="s">
        <v>12</v>
      </c>
      <c r="F139" s="3" t="n">
        <v>970</v>
      </c>
      <c r="G139" s="3" t="n">
        <v>1300</v>
      </c>
    </row>
    <row r="140" customFormat="false" ht="15" hidden="false" customHeight="false" outlineLevel="0" collapsed="false">
      <c r="A140" s="0" t="s">
        <v>333</v>
      </c>
      <c r="B140" s="0" t="s">
        <v>222</v>
      </c>
      <c r="C140" s="0" t="s">
        <v>19</v>
      </c>
      <c r="D140" s="0" t="s">
        <v>43</v>
      </c>
      <c r="E140" s="0" t="s">
        <v>50</v>
      </c>
      <c r="F140" s="3" t="n">
        <v>2880</v>
      </c>
      <c r="G140" s="3" t="n">
        <v>3820</v>
      </c>
    </row>
    <row r="141" customFormat="false" ht="15" hidden="false" customHeight="false" outlineLevel="0" collapsed="false">
      <c r="A141" s="0" t="s">
        <v>334</v>
      </c>
      <c r="B141" s="0" t="s">
        <v>335</v>
      </c>
      <c r="C141" s="0" t="s">
        <v>73</v>
      </c>
      <c r="D141" s="0" t="s">
        <v>122</v>
      </c>
      <c r="E141" s="0" t="s">
        <v>50</v>
      </c>
      <c r="F141" s="3" t="n">
        <v>310</v>
      </c>
      <c r="G141" s="3" t="n">
        <v>440</v>
      </c>
    </row>
    <row r="142" customFormat="false" ht="15" hidden="false" customHeight="false" outlineLevel="0" collapsed="false">
      <c r="A142" s="0" t="s">
        <v>336</v>
      </c>
      <c r="B142" s="0" t="s">
        <v>337</v>
      </c>
      <c r="C142" s="0" t="s">
        <v>10</v>
      </c>
      <c r="D142" s="0" t="s">
        <v>259</v>
      </c>
      <c r="E142" s="0" t="s">
        <v>12</v>
      </c>
      <c r="F142" s="3" t="n">
        <v>2480</v>
      </c>
      <c r="G142" s="3" t="n">
        <v>3410</v>
      </c>
    </row>
    <row r="143" customFormat="false" ht="15" hidden="false" customHeight="false" outlineLevel="0" collapsed="false">
      <c r="A143" s="0" t="s">
        <v>338</v>
      </c>
      <c r="B143" s="0" t="s">
        <v>286</v>
      </c>
      <c r="C143" s="0" t="s">
        <v>23</v>
      </c>
      <c r="D143" s="0" t="s">
        <v>94</v>
      </c>
      <c r="E143" s="0" t="s">
        <v>25</v>
      </c>
      <c r="F143" s="3" t="n">
        <v>2320</v>
      </c>
      <c r="G143" s="3" t="n">
        <v>3160</v>
      </c>
    </row>
    <row r="144" customFormat="false" ht="15" hidden="false" customHeight="false" outlineLevel="0" collapsed="false">
      <c r="A144" s="0" t="s">
        <v>339</v>
      </c>
      <c r="B144" s="0" t="s">
        <v>340</v>
      </c>
      <c r="C144" s="0" t="s">
        <v>53</v>
      </c>
      <c r="D144" s="0" t="s">
        <v>107</v>
      </c>
      <c r="E144" s="0" t="s">
        <v>50</v>
      </c>
      <c r="F144" s="3" t="n">
        <v>4100</v>
      </c>
      <c r="G144" s="3" t="n">
        <v>5060</v>
      </c>
    </row>
    <row r="145" customFormat="false" ht="15" hidden="false" customHeight="false" outlineLevel="0" collapsed="false">
      <c r="A145" s="0" t="s">
        <v>341</v>
      </c>
      <c r="B145" s="0" t="s">
        <v>342</v>
      </c>
      <c r="C145" s="0" t="s">
        <v>15</v>
      </c>
      <c r="D145" s="0" t="s">
        <v>97</v>
      </c>
      <c r="E145" s="0" t="s">
        <v>12</v>
      </c>
      <c r="F145" s="3" t="n">
        <v>520</v>
      </c>
      <c r="G145" s="3" t="n">
        <v>700</v>
      </c>
    </row>
    <row r="146" customFormat="false" ht="15" hidden="false" customHeight="false" outlineLevel="0" collapsed="false">
      <c r="A146" s="0" t="s">
        <v>343</v>
      </c>
      <c r="B146" s="0" t="s">
        <v>344</v>
      </c>
      <c r="C146" s="0" t="s">
        <v>23</v>
      </c>
      <c r="D146" s="0" t="s">
        <v>94</v>
      </c>
      <c r="E146" s="0" t="s">
        <v>12</v>
      </c>
      <c r="F146" s="3" t="n">
        <v>1360</v>
      </c>
      <c r="G146" s="3" t="n">
        <v>1750</v>
      </c>
    </row>
    <row r="147" customFormat="false" ht="15" hidden="false" customHeight="false" outlineLevel="0" collapsed="false">
      <c r="A147" s="0" t="s">
        <v>345</v>
      </c>
      <c r="B147" s="0" t="s">
        <v>346</v>
      </c>
      <c r="C147" s="0" t="s">
        <v>66</v>
      </c>
      <c r="D147" s="0" t="s">
        <v>138</v>
      </c>
      <c r="E147" s="0" t="s">
        <v>25</v>
      </c>
      <c r="F147" s="3" t="n">
        <v>1700</v>
      </c>
      <c r="G147" s="3" t="n">
        <v>2240</v>
      </c>
    </row>
    <row r="148" customFormat="false" ht="15" hidden="false" customHeight="false" outlineLevel="0" collapsed="false">
      <c r="A148" s="0" t="s">
        <v>347</v>
      </c>
      <c r="B148" s="0" t="s">
        <v>348</v>
      </c>
      <c r="C148" s="0" t="s">
        <v>73</v>
      </c>
      <c r="D148" s="0" t="s">
        <v>122</v>
      </c>
      <c r="E148" s="0" t="s">
        <v>50</v>
      </c>
      <c r="F148" s="3" t="n">
        <v>200</v>
      </c>
      <c r="G148" s="3" t="n">
        <v>240</v>
      </c>
    </row>
    <row r="149" customFormat="false" ht="15" hidden="false" customHeight="false" outlineLevel="0" collapsed="false">
      <c r="A149" s="0" t="s">
        <v>349</v>
      </c>
      <c r="B149" s="0" t="s">
        <v>350</v>
      </c>
      <c r="C149" s="0" t="s">
        <v>10</v>
      </c>
      <c r="D149" s="0" t="s">
        <v>211</v>
      </c>
      <c r="E149" s="0" t="s">
        <v>12</v>
      </c>
      <c r="F149" s="3" t="n">
        <v>2220</v>
      </c>
      <c r="G149" s="3" t="n">
        <v>2830</v>
      </c>
    </row>
    <row r="150" customFormat="false" ht="15" hidden="false" customHeight="false" outlineLevel="0" collapsed="false">
      <c r="A150" s="0" t="s">
        <v>351</v>
      </c>
      <c r="B150" s="0" t="s">
        <v>352</v>
      </c>
      <c r="C150" s="0" t="s">
        <v>85</v>
      </c>
      <c r="D150" s="0" t="s">
        <v>153</v>
      </c>
      <c r="E150" s="0" t="s">
        <v>12</v>
      </c>
      <c r="F150" s="3" t="n">
        <v>1320</v>
      </c>
      <c r="G150" s="3" t="n">
        <v>1780</v>
      </c>
    </row>
    <row r="151" customFormat="false" ht="15" hidden="false" customHeight="false" outlineLevel="0" collapsed="false">
      <c r="A151" s="0" t="s">
        <v>353</v>
      </c>
      <c r="B151" s="0" t="s">
        <v>354</v>
      </c>
      <c r="C151" s="0" t="s">
        <v>73</v>
      </c>
      <c r="D151" s="0" t="s">
        <v>119</v>
      </c>
      <c r="E151" s="0" t="s">
        <v>50</v>
      </c>
      <c r="F151" s="3" t="n">
        <v>330</v>
      </c>
      <c r="G151" s="3" t="n">
        <v>420</v>
      </c>
    </row>
    <row r="152" customFormat="false" ht="15" hidden="false" customHeight="false" outlineLevel="0" collapsed="false">
      <c r="A152" s="0" t="s">
        <v>355</v>
      </c>
      <c r="B152" s="0" t="s">
        <v>356</v>
      </c>
      <c r="C152" s="0" t="s">
        <v>39</v>
      </c>
      <c r="D152" s="0" t="s">
        <v>150</v>
      </c>
      <c r="E152" s="0" t="s">
        <v>25</v>
      </c>
      <c r="F152" s="3" t="n">
        <v>730</v>
      </c>
      <c r="G152" s="3" t="n">
        <v>990</v>
      </c>
    </row>
    <row r="153" customFormat="false" ht="15" hidden="false" customHeight="false" outlineLevel="0" collapsed="false">
      <c r="A153" s="0" t="s">
        <v>357</v>
      </c>
      <c r="B153" s="0" t="s">
        <v>358</v>
      </c>
      <c r="C153" s="0" t="s">
        <v>53</v>
      </c>
      <c r="D153" s="0" t="s">
        <v>24</v>
      </c>
      <c r="E153" s="0" t="s">
        <v>12</v>
      </c>
      <c r="F153" s="3" t="n">
        <v>8680</v>
      </c>
      <c r="G153" s="3" t="n">
        <v>10970</v>
      </c>
    </row>
    <row r="154" customFormat="false" ht="15" hidden="false" customHeight="false" outlineLevel="0" collapsed="false">
      <c r="A154" s="0" t="s">
        <v>359</v>
      </c>
      <c r="B154" s="0" t="s">
        <v>360</v>
      </c>
      <c r="C154" s="0" t="s">
        <v>73</v>
      </c>
      <c r="D154" s="0" t="s">
        <v>122</v>
      </c>
      <c r="E154" s="0" t="s">
        <v>12</v>
      </c>
      <c r="F154" s="3" t="n">
        <v>460</v>
      </c>
      <c r="G154" s="3" t="n">
        <v>550</v>
      </c>
    </row>
    <row r="155" customFormat="false" ht="15" hidden="false" customHeight="false" outlineLevel="0" collapsed="false">
      <c r="A155" s="0" t="s">
        <v>361</v>
      </c>
      <c r="B155" s="0" t="s">
        <v>362</v>
      </c>
      <c r="C155" s="0" t="s">
        <v>28</v>
      </c>
      <c r="D155" s="0" t="s">
        <v>29</v>
      </c>
      <c r="E155" s="0" t="s">
        <v>12</v>
      </c>
      <c r="F155" s="3" t="n">
        <v>1910</v>
      </c>
      <c r="G155" s="3" t="n">
        <v>2500</v>
      </c>
    </row>
    <row r="156" customFormat="false" ht="15" hidden="false" customHeight="false" outlineLevel="0" collapsed="false">
      <c r="A156" s="0" t="s">
        <v>363</v>
      </c>
      <c r="B156" s="0" t="s">
        <v>161</v>
      </c>
      <c r="C156" s="0" t="s">
        <v>39</v>
      </c>
      <c r="D156" s="0" t="s">
        <v>162</v>
      </c>
      <c r="E156" s="0" t="s">
        <v>25</v>
      </c>
      <c r="F156" s="3" t="n">
        <v>960</v>
      </c>
      <c r="G156" s="3" t="n">
        <v>1380</v>
      </c>
    </row>
    <row r="157" customFormat="false" ht="15" hidden="false" customHeight="false" outlineLevel="0" collapsed="false">
      <c r="A157" s="0" t="s">
        <v>364</v>
      </c>
      <c r="B157" s="0" t="s">
        <v>365</v>
      </c>
      <c r="C157" s="0" t="s">
        <v>15</v>
      </c>
      <c r="D157" s="0" t="s">
        <v>135</v>
      </c>
      <c r="E157" s="0" t="s">
        <v>12</v>
      </c>
      <c r="F157" s="3" t="n">
        <v>2500</v>
      </c>
      <c r="G157" s="3" t="n">
        <v>3570</v>
      </c>
    </row>
    <row r="158" customFormat="false" ht="15" hidden="false" customHeight="false" outlineLevel="0" collapsed="false">
      <c r="A158" s="0" t="s">
        <v>366</v>
      </c>
      <c r="B158" s="0" t="s">
        <v>367</v>
      </c>
      <c r="C158" s="0" t="s">
        <v>23</v>
      </c>
      <c r="D158" s="0" t="s">
        <v>24</v>
      </c>
      <c r="E158" s="0" t="s">
        <v>12</v>
      </c>
      <c r="F158" s="3" t="n">
        <v>2200</v>
      </c>
      <c r="G158" s="3" t="n">
        <v>2730</v>
      </c>
    </row>
    <row r="159" customFormat="false" ht="15" hidden="false" customHeight="false" outlineLevel="0" collapsed="false">
      <c r="A159" s="0" t="s">
        <v>368</v>
      </c>
      <c r="B159" s="0" t="s">
        <v>369</v>
      </c>
      <c r="C159" s="0" t="s">
        <v>28</v>
      </c>
      <c r="D159" s="0" t="s">
        <v>89</v>
      </c>
      <c r="E159" s="0" t="s">
        <v>12</v>
      </c>
      <c r="F159" s="3" t="n">
        <v>1230</v>
      </c>
      <c r="G159" s="3" t="n">
        <v>1480</v>
      </c>
    </row>
    <row r="160" customFormat="false" ht="15" hidden="false" customHeight="false" outlineLevel="0" collapsed="false">
      <c r="A160" s="0" t="s">
        <v>370</v>
      </c>
      <c r="B160" s="0" t="s">
        <v>371</v>
      </c>
      <c r="C160" s="0" t="s">
        <v>39</v>
      </c>
      <c r="D160" s="0" t="s">
        <v>40</v>
      </c>
      <c r="E160" s="0" t="s">
        <v>25</v>
      </c>
      <c r="F160" s="3" t="n">
        <v>980</v>
      </c>
      <c r="G160" s="3" t="n">
        <v>1170</v>
      </c>
    </row>
    <row r="161" customFormat="false" ht="15" hidden="false" customHeight="false" outlineLevel="0" collapsed="false">
      <c r="A161" s="0" t="s">
        <v>372</v>
      </c>
      <c r="B161" s="0" t="s">
        <v>373</v>
      </c>
      <c r="C161" s="0" t="s">
        <v>15</v>
      </c>
      <c r="D161" s="0" t="s">
        <v>54</v>
      </c>
      <c r="E161" s="0" t="s">
        <v>12</v>
      </c>
      <c r="F161" s="3" t="n">
        <v>3200</v>
      </c>
      <c r="G161" s="3" t="n">
        <v>4450</v>
      </c>
    </row>
    <row r="162" customFormat="false" ht="15" hidden="false" customHeight="false" outlineLevel="0" collapsed="false">
      <c r="A162" s="0" t="s">
        <v>374</v>
      </c>
      <c r="B162" s="0" t="s">
        <v>375</v>
      </c>
      <c r="C162" s="0" t="s">
        <v>23</v>
      </c>
      <c r="D162" s="0" t="s">
        <v>49</v>
      </c>
      <c r="E162" s="0" t="s">
        <v>12</v>
      </c>
      <c r="F162" s="3" t="n">
        <v>1520</v>
      </c>
      <c r="G162" s="3" t="n">
        <v>1910</v>
      </c>
    </row>
    <row r="163" customFormat="false" ht="15" hidden="false" customHeight="false" outlineLevel="0" collapsed="false">
      <c r="A163" s="0" t="s">
        <v>376</v>
      </c>
      <c r="B163" s="0" t="s">
        <v>377</v>
      </c>
      <c r="C163" s="0" t="s">
        <v>23</v>
      </c>
      <c r="D163" s="0" t="s">
        <v>49</v>
      </c>
      <c r="E163" s="0" t="s">
        <v>12</v>
      </c>
      <c r="F163" s="3" t="n">
        <v>1030</v>
      </c>
      <c r="G163" s="3" t="n">
        <v>1390</v>
      </c>
    </row>
    <row r="164" customFormat="false" ht="15" hidden="false" customHeight="false" outlineLevel="0" collapsed="false">
      <c r="A164" s="0" t="s">
        <v>378</v>
      </c>
      <c r="B164" s="0" t="s">
        <v>379</v>
      </c>
      <c r="C164" s="0" t="s">
        <v>23</v>
      </c>
      <c r="D164" s="0" t="s">
        <v>49</v>
      </c>
      <c r="E164" s="0" t="s">
        <v>25</v>
      </c>
      <c r="F164" s="3" t="n">
        <v>1490</v>
      </c>
      <c r="G164" s="3" t="n">
        <v>1820</v>
      </c>
    </row>
    <row r="165" customFormat="false" ht="15" hidden="false" customHeight="false" outlineLevel="0" collapsed="false">
      <c r="A165" s="0" t="s">
        <v>380</v>
      </c>
      <c r="B165" s="0" t="s">
        <v>381</v>
      </c>
      <c r="C165" s="0" t="s">
        <v>10</v>
      </c>
      <c r="D165" s="0" t="s">
        <v>211</v>
      </c>
      <c r="E165" s="0" t="s">
        <v>12</v>
      </c>
      <c r="F165" s="3" t="n">
        <v>2670</v>
      </c>
      <c r="G165" s="3" t="n">
        <v>3170</v>
      </c>
    </row>
    <row r="166" customFormat="false" ht="15" hidden="false" customHeight="false" outlineLevel="0" collapsed="false">
      <c r="A166" s="0" t="s">
        <v>382</v>
      </c>
      <c r="B166" s="0" t="s">
        <v>383</v>
      </c>
      <c r="C166" s="0" t="s">
        <v>23</v>
      </c>
      <c r="D166" s="0" t="s">
        <v>299</v>
      </c>
      <c r="E166" s="0" t="s">
        <v>25</v>
      </c>
      <c r="F166" s="3" t="n">
        <v>1740</v>
      </c>
      <c r="G166" s="3" t="n">
        <v>2060</v>
      </c>
    </row>
    <row r="167" customFormat="false" ht="15" hidden="false" customHeight="false" outlineLevel="0" collapsed="false">
      <c r="A167" s="0" t="s">
        <v>384</v>
      </c>
      <c r="B167" s="0" t="s">
        <v>385</v>
      </c>
      <c r="C167" s="0" t="s">
        <v>15</v>
      </c>
      <c r="D167" s="0" t="s">
        <v>54</v>
      </c>
      <c r="E167" s="0" t="s">
        <v>12</v>
      </c>
      <c r="F167" s="3" t="n">
        <v>1380</v>
      </c>
      <c r="G167" s="3" t="n">
        <v>1650</v>
      </c>
    </row>
    <row r="168" customFormat="false" ht="15" hidden="false" customHeight="false" outlineLevel="0" collapsed="false">
      <c r="A168" s="0" t="s">
        <v>386</v>
      </c>
      <c r="B168" s="0" t="s">
        <v>385</v>
      </c>
      <c r="C168" s="0" t="s">
        <v>15</v>
      </c>
      <c r="D168" s="0" t="s">
        <v>54</v>
      </c>
      <c r="E168" s="0" t="s">
        <v>50</v>
      </c>
      <c r="F168" s="3" t="n">
        <v>2170</v>
      </c>
      <c r="G168" s="3" t="n">
        <v>2740</v>
      </c>
    </row>
    <row r="169" customFormat="false" ht="15" hidden="false" customHeight="false" outlineLevel="0" collapsed="false">
      <c r="A169" s="0" t="s">
        <v>387</v>
      </c>
      <c r="B169" s="0" t="s">
        <v>388</v>
      </c>
      <c r="C169" s="0" t="s">
        <v>28</v>
      </c>
      <c r="D169" s="0" t="s">
        <v>57</v>
      </c>
      <c r="E169" s="0" t="s">
        <v>12</v>
      </c>
      <c r="F169" s="3" t="n">
        <v>820</v>
      </c>
      <c r="G169" s="3" t="n">
        <v>1070</v>
      </c>
    </row>
    <row r="170" customFormat="false" ht="15" hidden="false" customHeight="false" outlineLevel="0" collapsed="false">
      <c r="A170" s="0" t="s">
        <v>389</v>
      </c>
      <c r="B170" s="0" t="s">
        <v>390</v>
      </c>
      <c r="C170" s="0" t="s">
        <v>66</v>
      </c>
      <c r="D170" s="0" t="s">
        <v>67</v>
      </c>
      <c r="E170" s="0" t="s">
        <v>25</v>
      </c>
      <c r="F170" s="3" t="n">
        <v>1530</v>
      </c>
      <c r="G170" s="3" t="n">
        <v>1970</v>
      </c>
    </row>
    <row r="171" customFormat="false" ht="15" hidden="false" customHeight="false" outlineLevel="0" collapsed="false">
      <c r="A171" s="0" t="s">
        <v>391</v>
      </c>
      <c r="B171" s="0" t="s">
        <v>104</v>
      </c>
      <c r="C171" s="0" t="s">
        <v>28</v>
      </c>
      <c r="D171" s="0" t="s">
        <v>89</v>
      </c>
      <c r="E171" s="0" t="s">
        <v>12</v>
      </c>
      <c r="F171" s="3" t="n">
        <v>1060</v>
      </c>
      <c r="G171" s="3" t="n">
        <v>1390</v>
      </c>
    </row>
    <row r="172" customFormat="false" ht="15" hidden="false" customHeight="false" outlineLevel="0" collapsed="false">
      <c r="A172" s="0" t="s">
        <v>392</v>
      </c>
      <c r="B172" s="0" t="s">
        <v>305</v>
      </c>
      <c r="C172" s="0" t="s">
        <v>73</v>
      </c>
      <c r="D172" s="0" t="s">
        <v>119</v>
      </c>
      <c r="E172" s="0" t="s">
        <v>50</v>
      </c>
      <c r="F172" s="3" t="n">
        <v>510</v>
      </c>
      <c r="G172" s="3" t="n">
        <v>630</v>
      </c>
    </row>
    <row r="173" customFormat="false" ht="15" hidden="false" customHeight="false" outlineLevel="0" collapsed="false">
      <c r="A173" s="0" t="s">
        <v>393</v>
      </c>
      <c r="B173" s="0" t="s">
        <v>315</v>
      </c>
      <c r="C173" s="0" t="s">
        <v>10</v>
      </c>
      <c r="D173" s="0" t="s">
        <v>211</v>
      </c>
      <c r="E173" s="0" t="s">
        <v>12</v>
      </c>
      <c r="F173" s="3" t="n">
        <v>1830</v>
      </c>
      <c r="G173" s="3" t="n">
        <v>2570</v>
      </c>
    </row>
    <row r="174" customFormat="false" ht="15" hidden="false" customHeight="false" outlineLevel="0" collapsed="false">
      <c r="A174" s="0" t="s">
        <v>394</v>
      </c>
      <c r="B174" s="0" t="s">
        <v>395</v>
      </c>
      <c r="C174" s="0" t="s">
        <v>66</v>
      </c>
      <c r="D174" s="0" t="s">
        <v>138</v>
      </c>
      <c r="E174" s="0" t="s">
        <v>12</v>
      </c>
      <c r="F174" s="3" t="n">
        <v>800</v>
      </c>
      <c r="G174" s="3" t="n">
        <v>1060</v>
      </c>
    </row>
    <row r="175" customFormat="false" ht="15" hidden="false" customHeight="false" outlineLevel="0" collapsed="false">
      <c r="A175" s="0" t="s">
        <v>396</v>
      </c>
      <c r="B175" s="0" t="s">
        <v>397</v>
      </c>
      <c r="C175" s="0" t="s">
        <v>19</v>
      </c>
      <c r="D175" s="0" t="s">
        <v>330</v>
      </c>
      <c r="E175" s="0" t="s">
        <v>25</v>
      </c>
      <c r="F175" s="3" t="n">
        <v>2110</v>
      </c>
      <c r="G175" s="3" t="n">
        <v>2640</v>
      </c>
    </row>
    <row r="176" customFormat="false" ht="15" hidden="false" customHeight="false" outlineLevel="0" collapsed="false">
      <c r="A176" s="0" t="s">
        <v>398</v>
      </c>
      <c r="B176" s="0" t="s">
        <v>188</v>
      </c>
      <c r="C176" s="0" t="s">
        <v>73</v>
      </c>
      <c r="D176" s="0" t="s">
        <v>119</v>
      </c>
      <c r="E176" s="0" t="s">
        <v>50</v>
      </c>
      <c r="F176" s="3" t="n">
        <v>220</v>
      </c>
      <c r="G176" s="3" t="n">
        <v>310</v>
      </c>
    </row>
    <row r="177" customFormat="false" ht="15" hidden="false" customHeight="false" outlineLevel="0" collapsed="false">
      <c r="A177" s="0" t="s">
        <v>399</v>
      </c>
      <c r="B177" s="0" t="s">
        <v>400</v>
      </c>
      <c r="C177" s="0" t="s">
        <v>53</v>
      </c>
      <c r="D177" s="0" t="s">
        <v>24</v>
      </c>
      <c r="E177" s="0" t="s">
        <v>12</v>
      </c>
      <c r="F177" s="3" t="n">
        <v>10160</v>
      </c>
      <c r="G177" s="3" t="n">
        <v>12110</v>
      </c>
    </row>
    <row r="178" customFormat="false" ht="15" hidden="false" customHeight="false" outlineLevel="0" collapsed="false">
      <c r="A178" s="0" t="s">
        <v>401</v>
      </c>
      <c r="B178" s="0" t="s">
        <v>402</v>
      </c>
      <c r="C178" s="0" t="s">
        <v>53</v>
      </c>
      <c r="D178" s="0" t="s">
        <v>132</v>
      </c>
      <c r="E178" s="0" t="s">
        <v>25</v>
      </c>
      <c r="F178" s="3" t="n">
        <v>16520</v>
      </c>
      <c r="G178" s="3" t="n">
        <v>20110</v>
      </c>
    </row>
    <row r="179" customFormat="false" ht="15" hidden="false" customHeight="false" outlineLevel="0" collapsed="false">
      <c r="A179" s="0" t="s">
        <v>403</v>
      </c>
      <c r="B179" s="0" t="s">
        <v>173</v>
      </c>
      <c r="C179" s="0" t="s">
        <v>15</v>
      </c>
      <c r="D179" s="0" t="s">
        <v>135</v>
      </c>
      <c r="E179" s="0" t="s">
        <v>50</v>
      </c>
      <c r="F179" s="3" t="n">
        <v>2960</v>
      </c>
      <c r="G179" s="3" t="n">
        <v>3910</v>
      </c>
    </row>
    <row r="180" customFormat="false" ht="15" hidden="false" customHeight="false" outlineLevel="0" collapsed="false">
      <c r="A180" s="0" t="s">
        <v>404</v>
      </c>
      <c r="B180" s="0" t="s">
        <v>405</v>
      </c>
      <c r="C180" s="0" t="s">
        <v>39</v>
      </c>
      <c r="D180" s="0" t="s">
        <v>150</v>
      </c>
      <c r="E180" s="0" t="s">
        <v>50</v>
      </c>
      <c r="F180" s="3" t="n">
        <v>1320</v>
      </c>
      <c r="G180" s="3" t="n">
        <v>1760</v>
      </c>
    </row>
    <row r="181" customFormat="false" ht="15" hidden="false" customHeight="false" outlineLevel="0" collapsed="false">
      <c r="A181" s="0" t="s">
        <v>406</v>
      </c>
      <c r="B181" s="0" t="s">
        <v>184</v>
      </c>
      <c r="C181" s="0" t="s">
        <v>23</v>
      </c>
      <c r="D181" s="0" t="s">
        <v>60</v>
      </c>
      <c r="E181" s="0" t="s">
        <v>25</v>
      </c>
      <c r="F181" s="3" t="n">
        <v>1050</v>
      </c>
      <c r="G181" s="3" t="n">
        <v>1420</v>
      </c>
    </row>
    <row r="182" customFormat="false" ht="15" hidden="false" customHeight="false" outlineLevel="0" collapsed="false">
      <c r="A182" s="0" t="s">
        <v>407</v>
      </c>
      <c r="B182" s="0" t="s">
        <v>408</v>
      </c>
      <c r="C182" s="0" t="s">
        <v>73</v>
      </c>
      <c r="D182" s="0" t="s">
        <v>74</v>
      </c>
      <c r="E182" s="0" t="s">
        <v>12</v>
      </c>
      <c r="F182" s="3" t="n">
        <v>160</v>
      </c>
      <c r="G182" s="3" t="n">
        <v>210</v>
      </c>
    </row>
    <row r="183" customFormat="false" ht="15" hidden="false" customHeight="false" outlineLevel="0" collapsed="false">
      <c r="A183" s="0" t="s">
        <v>409</v>
      </c>
      <c r="B183" s="0" t="s">
        <v>410</v>
      </c>
      <c r="C183" s="0" t="s">
        <v>15</v>
      </c>
      <c r="D183" s="0" t="s">
        <v>214</v>
      </c>
      <c r="E183" s="0" t="s">
        <v>12</v>
      </c>
      <c r="F183" s="3" t="n">
        <v>3650</v>
      </c>
      <c r="G183" s="3" t="n">
        <v>4410</v>
      </c>
    </row>
    <row r="184" customFormat="false" ht="15" hidden="false" customHeight="false" outlineLevel="0" collapsed="false">
      <c r="A184" s="0" t="s">
        <v>411</v>
      </c>
      <c r="B184" s="0" t="s">
        <v>412</v>
      </c>
      <c r="C184" s="0" t="s">
        <v>53</v>
      </c>
      <c r="D184" s="0" t="s">
        <v>132</v>
      </c>
      <c r="E184" s="0" t="s">
        <v>12</v>
      </c>
      <c r="F184" s="3" t="n">
        <v>10180</v>
      </c>
      <c r="G184" s="3" t="n">
        <v>13690</v>
      </c>
    </row>
    <row r="185" customFormat="false" ht="15" hidden="false" customHeight="false" outlineLevel="0" collapsed="false">
      <c r="A185" s="0" t="s">
        <v>413</v>
      </c>
      <c r="B185" s="0" t="s">
        <v>414</v>
      </c>
      <c r="C185" s="0" t="s">
        <v>23</v>
      </c>
      <c r="D185" s="0" t="s">
        <v>299</v>
      </c>
      <c r="E185" s="0" t="s">
        <v>12</v>
      </c>
      <c r="F185" s="3" t="n">
        <v>940</v>
      </c>
      <c r="G185" s="3" t="n">
        <v>1190</v>
      </c>
    </row>
    <row r="186" customFormat="false" ht="15" hidden="false" customHeight="false" outlineLevel="0" collapsed="false">
      <c r="A186" s="0" t="s">
        <v>415</v>
      </c>
      <c r="B186" s="0" t="s">
        <v>166</v>
      </c>
      <c r="C186" s="0" t="s">
        <v>66</v>
      </c>
      <c r="D186" s="0" t="s">
        <v>167</v>
      </c>
      <c r="E186" s="0" t="s">
        <v>25</v>
      </c>
      <c r="F186" s="3" t="n">
        <v>980</v>
      </c>
      <c r="G186" s="3" t="n">
        <v>1330</v>
      </c>
    </row>
    <row r="187" customFormat="false" ht="15" hidden="false" customHeight="false" outlineLevel="0" collapsed="false">
      <c r="A187" s="0" t="s">
        <v>416</v>
      </c>
      <c r="B187" s="0" t="s">
        <v>38</v>
      </c>
      <c r="C187" s="0" t="s">
        <v>39</v>
      </c>
      <c r="D187" s="0" t="s">
        <v>40</v>
      </c>
      <c r="E187" s="0" t="s">
        <v>12</v>
      </c>
      <c r="F187" s="3" t="n">
        <v>1240</v>
      </c>
      <c r="G187" s="3" t="n">
        <v>1550</v>
      </c>
    </row>
    <row r="188" customFormat="false" ht="15" hidden="false" customHeight="false" outlineLevel="0" collapsed="false">
      <c r="A188" s="0" t="s">
        <v>417</v>
      </c>
      <c r="B188" s="0" t="s">
        <v>418</v>
      </c>
      <c r="C188" s="0" t="s">
        <v>15</v>
      </c>
      <c r="D188" s="0" t="s">
        <v>54</v>
      </c>
      <c r="E188" s="0" t="s">
        <v>50</v>
      </c>
      <c r="F188" s="3" t="n">
        <v>1500</v>
      </c>
      <c r="G188" s="3" t="n">
        <v>2140</v>
      </c>
    </row>
    <row r="189" customFormat="false" ht="15" hidden="false" customHeight="false" outlineLevel="0" collapsed="false">
      <c r="A189" s="0" t="s">
        <v>419</v>
      </c>
      <c r="B189" s="0" t="s">
        <v>420</v>
      </c>
      <c r="C189" s="0" t="s">
        <v>66</v>
      </c>
      <c r="D189" s="0" t="s">
        <v>97</v>
      </c>
      <c r="E189" s="0" t="s">
        <v>12</v>
      </c>
      <c r="F189" s="3" t="n">
        <v>1610</v>
      </c>
      <c r="G189" s="3" t="n">
        <v>2070</v>
      </c>
    </row>
    <row r="190" customFormat="false" ht="15" hidden="false" customHeight="false" outlineLevel="0" collapsed="false">
      <c r="A190" s="0" t="s">
        <v>421</v>
      </c>
      <c r="B190" s="0" t="s">
        <v>155</v>
      </c>
      <c r="C190" s="0" t="s">
        <v>73</v>
      </c>
      <c r="D190" s="0" t="s">
        <v>119</v>
      </c>
      <c r="E190" s="0" t="s">
        <v>12</v>
      </c>
      <c r="F190" s="3" t="n">
        <v>120</v>
      </c>
      <c r="G190" s="3" t="n">
        <v>170</v>
      </c>
    </row>
    <row r="191" customFormat="false" ht="15" hidden="false" customHeight="false" outlineLevel="0" collapsed="false">
      <c r="A191" s="0" t="s">
        <v>422</v>
      </c>
      <c r="B191" s="0" t="s">
        <v>423</v>
      </c>
      <c r="C191" s="0" t="s">
        <v>53</v>
      </c>
      <c r="D191" s="0" t="s">
        <v>107</v>
      </c>
      <c r="E191" s="0" t="s">
        <v>12</v>
      </c>
      <c r="F191" s="3" t="n">
        <v>17660</v>
      </c>
      <c r="G191" s="3" t="n">
        <v>24150</v>
      </c>
    </row>
    <row r="192" customFormat="false" ht="15" hidden="false" customHeight="false" outlineLevel="0" collapsed="false">
      <c r="A192" s="0" t="s">
        <v>424</v>
      </c>
      <c r="B192" s="0" t="s">
        <v>425</v>
      </c>
      <c r="C192" s="0" t="s">
        <v>23</v>
      </c>
      <c r="D192" s="0" t="s">
        <v>24</v>
      </c>
      <c r="E192" s="0" t="s">
        <v>12</v>
      </c>
      <c r="F192" s="3" t="n">
        <v>1860</v>
      </c>
      <c r="G192" s="3" t="n">
        <v>2460</v>
      </c>
    </row>
    <row r="193" customFormat="false" ht="15" hidden="false" customHeight="false" outlineLevel="0" collapsed="false">
      <c r="A193" s="0" t="s">
        <v>426</v>
      </c>
      <c r="B193" s="0" t="s">
        <v>427</v>
      </c>
      <c r="C193" s="0" t="s">
        <v>10</v>
      </c>
      <c r="D193" s="0" t="s">
        <v>259</v>
      </c>
      <c r="E193" s="0" t="s">
        <v>25</v>
      </c>
      <c r="F193" s="3" t="n">
        <v>2200</v>
      </c>
      <c r="G193" s="3" t="n">
        <v>2670</v>
      </c>
    </row>
    <row r="194" customFormat="false" ht="15" hidden="false" customHeight="false" outlineLevel="0" collapsed="false">
      <c r="A194" s="0" t="s">
        <v>428</v>
      </c>
      <c r="B194" s="0" t="s">
        <v>429</v>
      </c>
      <c r="C194" s="0" t="s">
        <v>28</v>
      </c>
      <c r="D194" s="0" t="s">
        <v>63</v>
      </c>
      <c r="E194" s="0" t="s">
        <v>25</v>
      </c>
      <c r="F194" s="3" t="n">
        <v>830</v>
      </c>
      <c r="G194" s="3" t="n">
        <v>1120</v>
      </c>
    </row>
    <row r="195" customFormat="false" ht="15" hidden="false" customHeight="false" outlineLevel="0" collapsed="false">
      <c r="A195" s="0" t="s">
        <v>430</v>
      </c>
      <c r="B195" s="0" t="s">
        <v>431</v>
      </c>
      <c r="C195" s="0" t="s">
        <v>28</v>
      </c>
      <c r="D195" s="0" t="s">
        <v>57</v>
      </c>
      <c r="E195" s="0" t="s">
        <v>25</v>
      </c>
      <c r="F195" s="3" t="n">
        <v>1900</v>
      </c>
      <c r="G195" s="3" t="n">
        <v>2330</v>
      </c>
    </row>
    <row r="196" customFormat="false" ht="15" hidden="false" customHeight="false" outlineLevel="0" collapsed="false">
      <c r="A196" s="0" t="s">
        <v>432</v>
      </c>
      <c r="B196" s="0" t="s">
        <v>433</v>
      </c>
      <c r="C196" s="0" t="s">
        <v>15</v>
      </c>
      <c r="D196" s="0" t="s">
        <v>54</v>
      </c>
      <c r="E196" s="0" t="s">
        <v>12</v>
      </c>
      <c r="F196" s="3" t="n">
        <v>3190</v>
      </c>
      <c r="G196" s="3" t="n">
        <v>3770</v>
      </c>
    </row>
    <row r="197" customFormat="false" ht="15" hidden="false" customHeight="false" outlineLevel="0" collapsed="false">
      <c r="A197" s="0" t="s">
        <v>434</v>
      </c>
      <c r="B197" s="0" t="s">
        <v>435</v>
      </c>
      <c r="C197" s="0" t="s">
        <v>73</v>
      </c>
      <c r="D197" s="0" t="s">
        <v>122</v>
      </c>
      <c r="E197" s="0" t="s">
        <v>25</v>
      </c>
      <c r="F197" s="3" t="n">
        <v>260</v>
      </c>
      <c r="G197" s="3" t="n">
        <v>370</v>
      </c>
    </row>
    <row r="198" customFormat="false" ht="15" hidden="false" customHeight="false" outlineLevel="0" collapsed="false">
      <c r="A198" s="0" t="s">
        <v>436</v>
      </c>
      <c r="B198" s="0" t="s">
        <v>321</v>
      </c>
      <c r="C198" s="0" t="s">
        <v>23</v>
      </c>
      <c r="D198" s="0" t="s">
        <v>60</v>
      </c>
      <c r="E198" s="0" t="s">
        <v>50</v>
      </c>
      <c r="F198" s="3" t="n">
        <v>2020</v>
      </c>
      <c r="G198" s="3" t="n">
        <v>2730</v>
      </c>
    </row>
    <row r="199" customFormat="false" ht="15" hidden="false" customHeight="false" outlineLevel="0" collapsed="false">
      <c r="A199" s="0" t="s">
        <v>437</v>
      </c>
      <c r="B199" s="0" t="s">
        <v>337</v>
      </c>
      <c r="C199" s="0" t="s">
        <v>10</v>
      </c>
      <c r="D199" s="0" t="s">
        <v>259</v>
      </c>
      <c r="E199" s="0" t="s">
        <v>12</v>
      </c>
      <c r="F199" s="3" t="n">
        <v>2010</v>
      </c>
      <c r="G199" s="3" t="n">
        <v>2710</v>
      </c>
    </row>
    <row r="200" customFormat="false" ht="15" hidden="false" customHeight="false" outlineLevel="0" collapsed="false">
      <c r="A200" s="0" t="s">
        <v>438</v>
      </c>
      <c r="B200" s="0" t="s">
        <v>439</v>
      </c>
      <c r="C200" s="0" t="s">
        <v>73</v>
      </c>
      <c r="D200" s="0" t="s">
        <v>119</v>
      </c>
      <c r="E200" s="0" t="s">
        <v>50</v>
      </c>
      <c r="F200" s="3" t="n">
        <v>170</v>
      </c>
      <c r="G200" s="3" t="n">
        <v>200</v>
      </c>
    </row>
    <row r="201" customFormat="false" ht="15" hidden="false" customHeight="false" outlineLevel="0" collapsed="false">
      <c r="A201" s="0" t="s">
        <v>440</v>
      </c>
      <c r="B201" s="0" t="s">
        <v>441</v>
      </c>
      <c r="C201" s="0" t="s">
        <v>39</v>
      </c>
      <c r="D201" s="0" t="s">
        <v>442</v>
      </c>
      <c r="E201" s="0" t="s">
        <v>12</v>
      </c>
      <c r="F201" s="3" t="n">
        <v>890</v>
      </c>
      <c r="G201" s="3" t="n">
        <v>1270</v>
      </c>
    </row>
    <row r="202" customFormat="false" ht="15" hidden="false" customHeight="false" outlineLevel="0" collapsed="false">
      <c r="A202" s="0" t="s">
        <v>443</v>
      </c>
      <c r="B202" s="0" t="s">
        <v>173</v>
      </c>
      <c r="C202" s="0" t="s">
        <v>15</v>
      </c>
      <c r="D202" s="0" t="s">
        <v>135</v>
      </c>
      <c r="E202" s="0" t="s">
        <v>12</v>
      </c>
      <c r="F202" s="3" t="n">
        <v>1240</v>
      </c>
      <c r="G202" s="3" t="n">
        <v>1680</v>
      </c>
    </row>
    <row r="203" customFormat="false" ht="15" hidden="false" customHeight="false" outlineLevel="0" collapsed="false">
      <c r="A203" s="0" t="s">
        <v>444</v>
      </c>
      <c r="B203" s="0" t="s">
        <v>445</v>
      </c>
      <c r="C203" s="0" t="s">
        <v>66</v>
      </c>
      <c r="D203" s="0" t="s">
        <v>197</v>
      </c>
      <c r="E203" s="0" t="s">
        <v>25</v>
      </c>
      <c r="F203" s="3" t="n">
        <v>760</v>
      </c>
      <c r="G203" s="3" t="n">
        <v>940</v>
      </c>
    </row>
    <row r="204" customFormat="false" ht="15" hidden="false" customHeight="false" outlineLevel="0" collapsed="false">
      <c r="A204" s="0" t="s">
        <v>446</v>
      </c>
      <c r="B204" s="0" t="s">
        <v>447</v>
      </c>
      <c r="C204" s="0" t="s">
        <v>23</v>
      </c>
      <c r="D204" s="0" t="s">
        <v>299</v>
      </c>
      <c r="E204" s="0" t="s">
        <v>12</v>
      </c>
      <c r="F204" s="3" t="n">
        <v>1320</v>
      </c>
      <c r="G204" s="3" t="n">
        <v>1750</v>
      </c>
    </row>
    <row r="205" customFormat="false" ht="15" hidden="false" customHeight="false" outlineLevel="0" collapsed="false">
      <c r="A205" s="0" t="s">
        <v>448</v>
      </c>
      <c r="B205" s="0" t="s">
        <v>449</v>
      </c>
      <c r="C205" s="0" t="s">
        <v>73</v>
      </c>
      <c r="D205" s="0" t="s">
        <v>119</v>
      </c>
      <c r="E205" s="0" t="s">
        <v>50</v>
      </c>
      <c r="F205" s="3" t="n">
        <v>250</v>
      </c>
      <c r="G205" s="3" t="n">
        <v>340</v>
      </c>
    </row>
    <row r="206" customFormat="false" ht="15" hidden="false" customHeight="false" outlineLevel="0" collapsed="false">
      <c r="A206" s="0" t="s">
        <v>450</v>
      </c>
      <c r="B206" s="0" t="s">
        <v>451</v>
      </c>
      <c r="C206" s="0" t="s">
        <v>39</v>
      </c>
      <c r="D206" s="0" t="s">
        <v>40</v>
      </c>
      <c r="E206" s="0" t="s">
        <v>12</v>
      </c>
      <c r="F206" s="3" t="n">
        <v>700</v>
      </c>
      <c r="G206" s="3" t="n">
        <v>850</v>
      </c>
    </row>
    <row r="207" customFormat="false" ht="15" hidden="false" customHeight="false" outlineLevel="0" collapsed="false">
      <c r="A207" s="0" t="s">
        <v>452</v>
      </c>
      <c r="B207" s="0" t="s">
        <v>383</v>
      </c>
      <c r="C207" s="0" t="s">
        <v>23</v>
      </c>
      <c r="D207" s="0" t="s">
        <v>299</v>
      </c>
      <c r="E207" s="0" t="s">
        <v>25</v>
      </c>
      <c r="F207" s="3" t="n">
        <v>660</v>
      </c>
      <c r="G207" s="3" t="n">
        <v>860</v>
      </c>
    </row>
    <row r="208" customFormat="false" ht="15" hidden="false" customHeight="false" outlineLevel="0" collapsed="false">
      <c r="A208" s="0" t="s">
        <v>453</v>
      </c>
      <c r="B208" s="0" t="s">
        <v>454</v>
      </c>
      <c r="C208" s="0" t="s">
        <v>23</v>
      </c>
      <c r="D208" s="0" t="s">
        <v>46</v>
      </c>
      <c r="E208" s="0" t="s">
        <v>12</v>
      </c>
      <c r="F208" s="3" t="n">
        <v>1610</v>
      </c>
      <c r="G208" s="3" t="n">
        <v>2190</v>
      </c>
    </row>
    <row r="209" customFormat="false" ht="15" hidden="false" customHeight="false" outlineLevel="0" collapsed="false">
      <c r="A209" s="0" t="s">
        <v>455</v>
      </c>
      <c r="B209" s="0" t="s">
        <v>118</v>
      </c>
      <c r="C209" s="0" t="s">
        <v>73</v>
      </c>
      <c r="D209" s="0" t="s">
        <v>119</v>
      </c>
      <c r="E209" s="0" t="s">
        <v>50</v>
      </c>
      <c r="F209" s="3" t="n">
        <v>100</v>
      </c>
      <c r="G209" s="3" t="n">
        <v>120</v>
      </c>
    </row>
    <row r="210" customFormat="false" ht="15" hidden="false" customHeight="false" outlineLevel="0" collapsed="false">
      <c r="A210" s="0" t="s">
        <v>456</v>
      </c>
      <c r="B210" s="0" t="s">
        <v>390</v>
      </c>
      <c r="C210" s="0" t="s">
        <v>66</v>
      </c>
      <c r="D210" s="0" t="s">
        <v>67</v>
      </c>
      <c r="E210" s="0" t="s">
        <v>12</v>
      </c>
      <c r="F210" s="3" t="n">
        <v>540</v>
      </c>
      <c r="G210" s="3" t="n">
        <v>650</v>
      </c>
    </row>
    <row r="211" customFormat="false" ht="15" hidden="false" customHeight="false" outlineLevel="0" collapsed="false">
      <c r="A211" s="0" t="s">
        <v>457</v>
      </c>
      <c r="B211" s="0" t="s">
        <v>458</v>
      </c>
      <c r="C211" s="0" t="s">
        <v>73</v>
      </c>
      <c r="D211" s="0" t="s">
        <v>122</v>
      </c>
      <c r="E211" s="0" t="s">
        <v>50</v>
      </c>
      <c r="F211" s="3" t="n">
        <v>430</v>
      </c>
      <c r="G211" s="3" t="n">
        <v>610</v>
      </c>
    </row>
    <row r="212" customFormat="false" ht="15" hidden="false" customHeight="false" outlineLevel="0" collapsed="false">
      <c r="A212" s="0" t="s">
        <v>459</v>
      </c>
      <c r="B212" s="0" t="s">
        <v>460</v>
      </c>
      <c r="C212" s="0" t="s">
        <v>53</v>
      </c>
      <c r="D212" s="0" t="s">
        <v>107</v>
      </c>
      <c r="E212" s="0" t="s">
        <v>12</v>
      </c>
      <c r="F212" s="3" t="n">
        <v>6620</v>
      </c>
      <c r="G212" s="3" t="n">
        <v>8770</v>
      </c>
    </row>
    <row r="213" customFormat="false" ht="15" hidden="false" customHeight="false" outlineLevel="0" collapsed="false">
      <c r="A213" s="0" t="s">
        <v>461</v>
      </c>
      <c r="B213" s="0" t="s">
        <v>390</v>
      </c>
      <c r="C213" s="0" t="s">
        <v>66</v>
      </c>
      <c r="D213" s="0" t="s">
        <v>67</v>
      </c>
      <c r="E213" s="0" t="s">
        <v>12</v>
      </c>
      <c r="F213" s="3" t="n">
        <v>1160</v>
      </c>
      <c r="G213" s="3" t="n">
        <v>1530</v>
      </c>
    </row>
    <row r="214" customFormat="false" ht="15" hidden="false" customHeight="false" outlineLevel="0" collapsed="false">
      <c r="A214" s="0" t="s">
        <v>462</v>
      </c>
      <c r="B214" s="0" t="s">
        <v>463</v>
      </c>
      <c r="C214" s="0" t="s">
        <v>53</v>
      </c>
      <c r="D214" s="0" t="s">
        <v>132</v>
      </c>
      <c r="E214" s="0" t="s">
        <v>50</v>
      </c>
      <c r="F214" s="3" t="n">
        <v>7750</v>
      </c>
      <c r="G214" s="3" t="n">
        <v>11100</v>
      </c>
    </row>
    <row r="215" customFormat="false" ht="15" hidden="false" customHeight="false" outlineLevel="0" collapsed="false">
      <c r="A215" s="0" t="s">
        <v>464</v>
      </c>
      <c r="B215" s="0" t="s">
        <v>143</v>
      </c>
      <c r="C215" s="0" t="s">
        <v>28</v>
      </c>
      <c r="D215" s="0" t="s">
        <v>29</v>
      </c>
      <c r="E215" s="0" t="s">
        <v>12</v>
      </c>
      <c r="F215" s="3" t="n">
        <v>680</v>
      </c>
      <c r="G215" s="3" t="n">
        <v>820</v>
      </c>
    </row>
    <row r="216" customFormat="false" ht="15" hidden="false" customHeight="false" outlineLevel="0" collapsed="false">
      <c r="A216" s="0" t="s">
        <v>465</v>
      </c>
      <c r="B216" s="0" t="s">
        <v>466</v>
      </c>
      <c r="C216" s="0" t="s">
        <v>15</v>
      </c>
      <c r="D216" s="0" t="s">
        <v>214</v>
      </c>
      <c r="E216" s="0" t="s">
        <v>50</v>
      </c>
      <c r="F216" s="3" t="n">
        <v>1710</v>
      </c>
      <c r="G216" s="3" t="n">
        <v>2260</v>
      </c>
    </row>
    <row r="217" customFormat="false" ht="15" hidden="false" customHeight="false" outlineLevel="0" collapsed="false">
      <c r="A217" s="0" t="s">
        <v>467</v>
      </c>
      <c r="B217" s="0" t="s">
        <v>468</v>
      </c>
      <c r="C217" s="0" t="s">
        <v>85</v>
      </c>
      <c r="D217" s="0" t="s">
        <v>102</v>
      </c>
      <c r="E217" s="0" t="s">
        <v>12</v>
      </c>
      <c r="F217" s="3" t="n">
        <v>5180</v>
      </c>
      <c r="G217" s="3" t="n">
        <v>7130</v>
      </c>
    </row>
    <row r="218" customFormat="false" ht="15" hidden="false" customHeight="false" outlineLevel="0" collapsed="false">
      <c r="A218" s="0" t="s">
        <v>469</v>
      </c>
      <c r="B218" s="0" t="s">
        <v>76</v>
      </c>
      <c r="C218" s="0" t="s">
        <v>19</v>
      </c>
      <c r="D218" s="0" t="s">
        <v>34</v>
      </c>
      <c r="E218" s="0" t="s">
        <v>12</v>
      </c>
      <c r="F218" s="3" t="n">
        <v>3150</v>
      </c>
      <c r="G218" s="3" t="n">
        <v>4160</v>
      </c>
    </row>
    <row r="219" customFormat="false" ht="15" hidden="false" customHeight="false" outlineLevel="0" collapsed="false">
      <c r="A219" s="0" t="s">
        <v>470</v>
      </c>
      <c r="B219" s="0" t="s">
        <v>471</v>
      </c>
      <c r="C219" s="0" t="s">
        <v>28</v>
      </c>
      <c r="D219" s="0" t="s">
        <v>29</v>
      </c>
      <c r="E219" s="0" t="s">
        <v>12</v>
      </c>
      <c r="F219" s="3" t="n">
        <v>1150</v>
      </c>
      <c r="G219" s="3" t="n">
        <v>1370</v>
      </c>
    </row>
    <row r="220" customFormat="false" ht="15" hidden="false" customHeight="false" outlineLevel="0" collapsed="false">
      <c r="A220" s="0" t="s">
        <v>472</v>
      </c>
      <c r="B220" s="0" t="s">
        <v>101</v>
      </c>
      <c r="C220" s="0" t="s">
        <v>85</v>
      </c>
      <c r="D220" s="0" t="s">
        <v>102</v>
      </c>
      <c r="E220" s="0" t="s">
        <v>12</v>
      </c>
      <c r="F220" s="3" t="n">
        <v>2940</v>
      </c>
      <c r="G220" s="3" t="n">
        <v>3700</v>
      </c>
    </row>
    <row r="221" customFormat="false" ht="15" hidden="false" customHeight="false" outlineLevel="0" collapsed="false">
      <c r="A221" s="0" t="s">
        <v>473</v>
      </c>
      <c r="B221" s="0" t="s">
        <v>155</v>
      </c>
      <c r="C221" s="0" t="s">
        <v>73</v>
      </c>
      <c r="D221" s="0" t="s">
        <v>119</v>
      </c>
      <c r="E221" s="0" t="s">
        <v>50</v>
      </c>
      <c r="F221" s="3" t="n">
        <v>150</v>
      </c>
      <c r="G221" s="3" t="n">
        <v>190</v>
      </c>
    </row>
    <row r="222" customFormat="false" ht="15" hidden="false" customHeight="false" outlineLevel="0" collapsed="false">
      <c r="A222" s="0" t="s">
        <v>474</v>
      </c>
      <c r="B222" s="0" t="s">
        <v>475</v>
      </c>
      <c r="C222" s="0" t="s">
        <v>53</v>
      </c>
      <c r="D222" s="0" t="s">
        <v>24</v>
      </c>
      <c r="E222" s="0" t="s">
        <v>12</v>
      </c>
      <c r="F222" s="3" t="n">
        <v>7390</v>
      </c>
      <c r="G222" s="3" t="n">
        <v>9120</v>
      </c>
    </row>
    <row r="223" customFormat="false" ht="15" hidden="false" customHeight="false" outlineLevel="0" collapsed="false">
      <c r="A223" s="0" t="s">
        <v>476</v>
      </c>
      <c r="B223" s="0" t="s">
        <v>477</v>
      </c>
      <c r="C223" s="0" t="s">
        <v>39</v>
      </c>
      <c r="D223" s="0" t="s">
        <v>40</v>
      </c>
      <c r="E223" s="0" t="s">
        <v>12</v>
      </c>
      <c r="F223" s="3" t="n">
        <v>450</v>
      </c>
      <c r="G223" s="3" t="n">
        <v>610</v>
      </c>
    </row>
    <row r="224" customFormat="false" ht="15" hidden="false" customHeight="false" outlineLevel="0" collapsed="false">
      <c r="A224" s="0" t="s">
        <v>478</v>
      </c>
      <c r="B224" s="0" t="s">
        <v>479</v>
      </c>
      <c r="C224" s="0" t="s">
        <v>23</v>
      </c>
      <c r="D224" s="0" t="s">
        <v>49</v>
      </c>
      <c r="E224" s="0" t="s">
        <v>12</v>
      </c>
      <c r="F224" s="3" t="n">
        <v>1440</v>
      </c>
      <c r="G224" s="3" t="n">
        <v>2030</v>
      </c>
    </row>
    <row r="225" customFormat="false" ht="15" hidden="false" customHeight="false" outlineLevel="0" collapsed="false">
      <c r="A225" s="0" t="s">
        <v>480</v>
      </c>
      <c r="B225" s="0" t="s">
        <v>481</v>
      </c>
      <c r="C225" s="0" t="s">
        <v>19</v>
      </c>
      <c r="D225" s="0" t="s">
        <v>20</v>
      </c>
      <c r="E225" s="0" t="s">
        <v>12</v>
      </c>
      <c r="F225" s="3" t="n">
        <v>1920</v>
      </c>
      <c r="G225" s="3" t="n">
        <v>2630</v>
      </c>
    </row>
    <row r="226" customFormat="false" ht="15" hidden="false" customHeight="false" outlineLevel="0" collapsed="false">
      <c r="A226" s="0" t="s">
        <v>482</v>
      </c>
      <c r="B226" s="0" t="s">
        <v>483</v>
      </c>
      <c r="C226" s="0" t="s">
        <v>66</v>
      </c>
      <c r="D226" s="0" t="s">
        <v>197</v>
      </c>
      <c r="E226" s="0" t="s">
        <v>12</v>
      </c>
      <c r="F226" s="3" t="n">
        <v>960</v>
      </c>
      <c r="G226" s="3" t="n">
        <v>1220</v>
      </c>
    </row>
    <row r="227" customFormat="false" ht="15" hidden="false" customHeight="false" outlineLevel="0" collapsed="false">
      <c r="A227" s="0" t="s">
        <v>484</v>
      </c>
      <c r="B227" s="0" t="s">
        <v>485</v>
      </c>
      <c r="C227" s="0" t="s">
        <v>28</v>
      </c>
      <c r="D227" s="0" t="s">
        <v>116</v>
      </c>
      <c r="E227" s="0" t="s">
        <v>12</v>
      </c>
      <c r="F227" s="3" t="n">
        <v>1900</v>
      </c>
      <c r="G227" s="3" t="n">
        <v>2430</v>
      </c>
    </row>
    <row r="228" customFormat="false" ht="15" hidden="false" customHeight="false" outlineLevel="0" collapsed="false">
      <c r="A228" s="0" t="s">
        <v>486</v>
      </c>
      <c r="B228" s="0" t="s">
        <v>113</v>
      </c>
      <c r="C228" s="0" t="s">
        <v>15</v>
      </c>
      <c r="D228" s="0" t="s">
        <v>70</v>
      </c>
      <c r="E228" s="0" t="s">
        <v>12</v>
      </c>
      <c r="F228" s="3" t="n">
        <v>1380</v>
      </c>
      <c r="G228" s="3" t="n">
        <v>1700</v>
      </c>
    </row>
    <row r="229" customFormat="false" ht="15" hidden="false" customHeight="false" outlineLevel="0" collapsed="false">
      <c r="A229" s="0" t="s">
        <v>487</v>
      </c>
      <c r="B229" s="0" t="s">
        <v>488</v>
      </c>
      <c r="C229" s="0" t="s">
        <v>73</v>
      </c>
      <c r="D229" s="0" t="s">
        <v>74</v>
      </c>
      <c r="E229" s="0" t="s">
        <v>12</v>
      </c>
      <c r="F229" s="3" t="n">
        <v>370</v>
      </c>
      <c r="G229" s="3" t="n">
        <v>480</v>
      </c>
    </row>
    <row r="230" customFormat="false" ht="15" hidden="false" customHeight="false" outlineLevel="0" collapsed="false">
      <c r="A230" s="0" t="s">
        <v>489</v>
      </c>
      <c r="B230" s="0" t="s">
        <v>460</v>
      </c>
      <c r="C230" s="0" t="s">
        <v>53</v>
      </c>
      <c r="D230" s="0" t="s">
        <v>107</v>
      </c>
      <c r="E230" s="0" t="s">
        <v>12</v>
      </c>
      <c r="F230" s="3" t="n">
        <v>6090</v>
      </c>
      <c r="G230" s="3" t="n">
        <v>8080</v>
      </c>
    </row>
    <row r="231" customFormat="false" ht="15" hidden="false" customHeight="false" outlineLevel="0" collapsed="false">
      <c r="A231" s="0" t="s">
        <v>490</v>
      </c>
      <c r="B231" s="0" t="s">
        <v>491</v>
      </c>
      <c r="C231" s="0" t="s">
        <v>10</v>
      </c>
      <c r="D231" s="0" t="s">
        <v>211</v>
      </c>
      <c r="E231" s="0" t="s">
        <v>50</v>
      </c>
      <c r="F231" s="3" t="n">
        <v>3250</v>
      </c>
      <c r="G231" s="3" t="n">
        <v>4420</v>
      </c>
    </row>
    <row r="232" customFormat="false" ht="15" hidden="false" customHeight="false" outlineLevel="0" collapsed="false">
      <c r="A232" s="0" t="s">
        <v>492</v>
      </c>
      <c r="B232" s="0" t="s">
        <v>367</v>
      </c>
      <c r="C232" s="0" t="s">
        <v>23</v>
      </c>
      <c r="D232" s="0" t="s">
        <v>24</v>
      </c>
      <c r="E232" s="0" t="s">
        <v>12</v>
      </c>
      <c r="F232" s="3" t="n">
        <v>270</v>
      </c>
      <c r="G232" s="3" t="n">
        <v>350</v>
      </c>
    </row>
    <row r="233" customFormat="false" ht="15" hidden="false" customHeight="false" outlineLevel="0" collapsed="false">
      <c r="A233" s="0" t="s">
        <v>493</v>
      </c>
      <c r="B233" s="0" t="s">
        <v>147</v>
      </c>
      <c r="C233" s="0" t="s">
        <v>10</v>
      </c>
      <c r="D233" s="0" t="s">
        <v>11</v>
      </c>
      <c r="E233" s="0" t="s">
        <v>12</v>
      </c>
      <c r="F233" s="3" t="n">
        <v>360</v>
      </c>
      <c r="G233" s="3" t="n">
        <v>470</v>
      </c>
    </row>
    <row r="234" customFormat="false" ht="15" hidden="false" customHeight="false" outlineLevel="0" collapsed="false">
      <c r="A234" s="0" t="s">
        <v>494</v>
      </c>
      <c r="B234" s="0" t="s">
        <v>495</v>
      </c>
      <c r="C234" s="0" t="s">
        <v>53</v>
      </c>
      <c r="D234" s="0" t="s">
        <v>24</v>
      </c>
      <c r="E234" s="0" t="s">
        <v>12</v>
      </c>
      <c r="F234" s="3" t="n">
        <v>10190</v>
      </c>
      <c r="G234" s="3" t="n">
        <v>13940</v>
      </c>
    </row>
    <row r="235" customFormat="false" ht="15" hidden="false" customHeight="false" outlineLevel="0" collapsed="false">
      <c r="A235" s="0" t="s">
        <v>496</v>
      </c>
      <c r="B235" s="0" t="s">
        <v>497</v>
      </c>
      <c r="C235" s="0" t="s">
        <v>39</v>
      </c>
      <c r="D235" s="0" t="s">
        <v>40</v>
      </c>
      <c r="E235" s="0" t="s">
        <v>25</v>
      </c>
      <c r="F235" s="3" t="n">
        <v>390</v>
      </c>
      <c r="G235" s="3" t="n">
        <v>510</v>
      </c>
    </row>
    <row r="236" customFormat="false" ht="15" hidden="false" customHeight="false" outlineLevel="0" collapsed="false">
      <c r="A236" s="0" t="s">
        <v>498</v>
      </c>
      <c r="B236" s="0" t="s">
        <v>499</v>
      </c>
      <c r="C236" s="0" t="s">
        <v>15</v>
      </c>
      <c r="D236" s="0" t="s">
        <v>16</v>
      </c>
      <c r="E236" s="0" t="s">
        <v>12</v>
      </c>
      <c r="F236" s="3" t="n">
        <v>2040</v>
      </c>
      <c r="G236" s="3" t="n">
        <v>2950</v>
      </c>
    </row>
    <row r="237" customFormat="false" ht="15" hidden="false" customHeight="false" outlineLevel="0" collapsed="false">
      <c r="A237" s="0" t="s">
        <v>500</v>
      </c>
      <c r="B237" s="0" t="s">
        <v>501</v>
      </c>
      <c r="C237" s="0" t="s">
        <v>39</v>
      </c>
      <c r="D237" s="0" t="s">
        <v>502</v>
      </c>
      <c r="E237" s="0" t="s">
        <v>12</v>
      </c>
      <c r="F237" s="3" t="n">
        <v>530</v>
      </c>
      <c r="G237" s="3" t="n">
        <v>690</v>
      </c>
    </row>
    <row r="238" customFormat="false" ht="15" hidden="false" customHeight="false" outlineLevel="0" collapsed="false">
      <c r="A238" s="0" t="s">
        <v>503</v>
      </c>
      <c r="B238" s="0" t="s">
        <v>504</v>
      </c>
      <c r="C238" s="0" t="s">
        <v>10</v>
      </c>
      <c r="D238" s="0" t="s">
        <v>11</v>
      </c>
      <c r="E238" s="0" t="s">
        <v>12</v>
      </c>
      <c r="F238" s="3" t="n">
        <v>1900</v>
      </c>
      <c r="G238" s="3" t="n">
        <v>2680</v>
      </c>
    </row>
    <row r="239" customFormat="false" ht="15" hidden="false" customHeight="false" outlineLevel="0" collapsed="false">
      <c r="A239" s="0" t="s">
        <v>505</v>
      </c>
      <c r="B239" s="0" t="s">
        <v>506</v>
      </c>
      <c r="C239" s="0" t="s">
        <v>66</v>
      </c>
      <c r="D239" s="0" t="s">
        <v>167</v>
      </c>
      <c r="E239" s="0" t="s">
        <v>12</v>
      </c>
      <c r="F239" s="3" t="n">
        <v>650</v>
      </c>
      <c r="G239" s="3" t="n">
        <v>920</v>
      </c>
    </row>
    <row r="240" customFormat="false" ht="15" hidden="false" customHeight="false" outlineLevel="0" collapsed="false">
      <c r="A240" s="0" t="s">
        <v>507</v>
      </c>
      <c r="B240" s="0" t="s">
        <v>508</v>
      </c>
      <c r="C240" s="0" t="s">
        <v>15</v>
      </c>
      <c r="D240" s="0" t="s">
        <v>70</v>
      </c>
      <c r="E240" s="0" t="s">
        <v>12</v>
      </c>
      <c r="F240" s="3" t="n">
        <v>360</v>
      </c>
      <c r="G240" s="3" t="n">
        <v>440</v>
      </c>
    </row>
    <row r="241" customFormat="false" ht="15" hidden="false" customHeight="false" outlineLevel="0" collapsed="false">
      <c r="A241" s="0" t="s">
        <v>509</v>
      </c>
      <c r="B241" s="0" t="s">
        <v>510</v>
      </c>
      <c r="C241" s="0" t="s">
        <v>73</v>
      </c>
      <c r="D241" s="0" t="s">
        <v>119</v>
      </c>
      <c r="E241" s="0" t="s">
        <v>25</v>
      </c>
      <c r="F241" s="3" t="n">
        <v>290</v>
      </c>
      <c r="G241" s="3" t="n">
        <v>380</v>
      </c>
    </row>
    <row r="242" customFormat="false" ht="15" hidden="false" customHeight="false" outlineLevel="0" collapsed="false">
      <c r="A242" s="0" t="s">
        <v>511</v>
      </c>
      <c r="B242" s="0" t="s">
        <v>512</v>
      </c>
      <c r="C242" s="0" t="s">
        <v>19</v>
      </c>
      <c r="D242" s="0" t="s">
        <v>330</v>
      </c>
      <c r="E242" s="0" t="s">
        <v>25</v>
      </c>
      <c r="F242" s="3" t="n">
        <v>1990</v>
      </c>
      <c r="G242" s="3" t="n">
        <v>2610</v>
      </c>
    </row>
    <row r="243" customFormat="false" ht="15" hidden="false" customHeight="false" outlineLevel="0" collapsed="false">
      <c r="A243" s="0" t="s">
        <v>513</v>
      </c>
      <c r="B243" s="0" t="s">
        <v>514</v>
      </c>
      <c r="C243" s="0" t="s">
        <v>23</v>
      </c>
      <c r="D243" s="0" t="s">
        <v>24</v>
      </c>
      <c r="E243" s="0" t="s">
        <v>12</v>
      </c>
      <c r="F243" s="3" t="n">
        <v>1710</v>
      </c>
      <c r="G243" s="3" t="n">
        <v>2300</v>
      </c>
    </row>
    <row r="244" customFormat="false" ht="15" hidden="false" customHeight="false" outlineLevel="0" collapsed="false">
      <c r="A244" s="0" t="s">
        <v>515</v>
      </c>
      <c r="B244" s="0" t="s">
        <v>186</v>
      </c>
      <c r="C244" s="0" t="s">
        <v>28</v>
      </c>
      <c r="D244" s="0" t="s">
        <v>89</v>
      </c>
      <c r="E244" s="0" t="s">
        <v>12</v>
      </c>
      <c r="F244" s="3" t="n">
        <v>710</v>
      </c>
      <c r="G244" s="3" t="n">
        <v>940</v>
      </c>
    </row>
    <row r="245" customFormat="false" ht="15" hidden="false" customHeight="false" outlineLevel="0" collapsed="false">
      <c r="A245" s="0" t="s">
        <v>516</v>
      </c>
      <c r="B245" s="0" t="s">
        <v>517</v>
      </c>
      <c r="C245" s="0" t="s">
        <v>85</v>
      </c>
      <c r="D245" s="0" t="s">
        <v>102</v>
      </c>
      <c r="E245" s="0" t="s">
        <v>12</v>
      </c>
      <c r="F245" s="3" t="n">
        <v>4860</v>
      </c>
      <c r="G245" s="3" t="n">
        <v>6120</v>
      </c>
    </row>
    <row r="246" customFormat="false" ht="15" hidden="false" customHeight="false" outlineLevel="0" collapsed="false">
      <c r="A246" s="0" t="s">
        <v>518</v>
      </c>
      <c r="B246" s="0" t="s">
        <v>233</v>
      </c>
      <c r="C246" s="0" t="s">
        <v>15</v>
      </c>
      <c r="D246" s="0" t="s">
        <v>234</v>
      </c>
      <c r="E246" s="0" t="s">
        <v>12</v>
      </c>
      <c r="F246" s="3" t="n">
        <v>2600</v>
      </c>
      <c r="G246" s="3" t="n">
        <v>3290</v>
      </c>
    </row>
    <row r="247" customFormat="false" ht="15" hidden="false" customHeight="false" outlineLevel="0" collapsed="false">
      <c r="A247" s="0" t="s">
        <v>519</v>
      </c>
      <c r="B247" s="0" t="s">
        <v>520</v>
      </c>
      <c r="C247" s="0" t="s">
        <v>66</v>
      </c>
      <c r="D247" s="0" t="s">
        <v>197</v>
      </c>
      <c r="E247" s="0" t="s">
        <v>12</v>
      </c>
      <c r="F247" s="3" t="n">
        <v>470</v>
      </c>
      <c r="G247" s="3" t="n">
        <v>570</v>
      </c>
    </row>
    <row r="248" customFormat="false" ht="15" hidden="false" customHeight="false" outlineLevel="0" collapsed="false">
      <c r="A248" s="0" t="s">
        <v>521</v>
      </c>
      <c r="B248" s="0" t="s">
        <v>522</v>
      </c>
      <c r="C248" s="0" t="s">
        <v>39</v>
      </c>
      <c r="D248" s="0" t="s">
        <v>502</v>
      </c>
      <c r="E248" s="0" t="s">
        <v>12</v>
      </c>
      <c r="F248" s="3" t="n">
        <v>510</v>
      </c>
      <c r="G248" s="3" t="n">
        <v>610</v>
      </c>
    </row>
    <row r="249" customFormat="false" ht="15" hidden="false" customHeight="false" outlineLevel="0" collapsed="false">
      <c r="A249" s="0" t="s">
        <v>523</v>
      </c>
      <c r="B249" s="0" t="s">
        <v>524</v>
      </c>
      <c r="C249" s="0" t="s">
        <v>23</v>
      </c>
      <c r="D249" s="0" t="s">
        <v>94</v>
      </c>
      <c r="E249" s="0" t="s">
        <v>12</v>
      </c>
      <c r="F249" s="3" t="n">
        <v>2160</v>
      </c>
      <c r="G249" s="3" t="n">
        <v>2970</v>
      </c>
    </row>
    <row r="250" customFormat="false" ht="15" hidden="false" customHeight="false" outlineLevel="0" collapsed="false">
      <c r="A250" s="0" t="s">
        <v>525</v>
      </c>
      <c r="B250" s="0" t="s">
        <v>526</v>
      </c>
      <c r="C250" s="0" t="s">
        <v>53</v>
      </c>
      <c r="D250" s="0" t="s">
        <v>107</v>
      </c>
      <c r="E250" s="0" t="s">
        <v>12</v>
      </c>
      <c r="F250" s="3" t="n">
        <v>6080</v>
      </c>
      <c r="G250" s="3" t="n">
        <v>7660</v>
      </c>
    </row>
    <row r="251" customFormat="false" ht="15" hidden="false" customHeight="false" outlineLevel="0" collapsed="false">
      <c r="A251" s="0" t="s">
        <v>527</v>
      </c>
      <c r="B251" s="0" t="s">
        <v>528</v>
      </c>
      <c r="C251" s="0" t="s">
        <v>19</v>
      </c>
      <c r="D251" s="0" t="s">
        <v>129</v>
      </c>
      <c r="E251" s="0" t="s">
        <v>12</v>
      </c>
      <c r="F251" s="3" t="n">
        <v>1440</v>
      </c>
      <c r="G251" s="3" t="n">
        <v>1720</v>
      </c>
    </row>
    <row r="252" customFormat="false" ht="15" hidden="false" customHeight="false" outlineLevel="0" collapsed="false">
      <c r="A252" s="0" t="s">
        <v>529</v>
      </c>
      <c r="B252" s="0" t="s">
        <v>325</v>
      </c>
      <c r="C252" s="0" t="s">
        <v>53</v>
      </c>
      <c r="D252" s="0" t="s">
        <v>132</v>
      </c>
      <c r="E252" s="0" t="s">
        <v>12</v>
      </c>
      <c r="F252" s="3" t="n">
        <v>9670</v>
      </c>
      <c r="G252" s="3" t="n">
        <v>11760</v>
      </c>
    </row>
    <row r="253" customFormat="false" ht="15" hidden="false" customHeight="false" outlineLevel="0" collapsed="false">
      <c r="A253" s="0" t="s">
        <v>530</v>
      </c>
      <c r="B253" s="0" t="s">
        <v>164</v>
      </c>
      <c r="C253" s="0" t="s">
        <v>53</v>
      </c>
      <c r="D253" s="0" t="s">
        <v>132</v>
      </c>
      <c r="E253" s="0" t="s">
        <v>25</v>
      </c>
      <c r="F253" s="3" t="n">
        <v>8350</v>
      </c>
      <c r="G253" s="3" t="n">
        <v>11690</v>
      </c>
    </row>
    <row r="254" customFormat="false" ht="15" hidden="false" customHeight="false" outlineLevel="0" collapsed="false">
      <c r="A254" s="0" t="s">
        <v>531</v>
      </c>
      <c r="B254" s="0" t="s">
        <v>532</v>
      </c>
      <c r="C254" s="0" t="s">
        <v>19</v>
      </c>
      <c r="D254" s="0" t="s">
        <v>129</v>
      </c>
      <c r="E254" s="0" t="s">
        <v>25</v>
      </c>
      <c r="F254" s="3" t="n">
        <v>1130</v>
      </c>
      <c r="G254" s="3" t="n">
        <v>1620</v>
      </c>
    </row>
    <row r="255" customFormat="false" ht="15" hidden="false" customHeight="false" outlineLevel="0" collapsed="false">
      <c r="A255" s="0" t="s">
        <v>533</v>
      </c>
      <c r="B255" s="0" t="s">
        <v>534</v>
      </c>
      <c r="C255" s="0" t="s">
        <v>19</v>
      </c>
      <c r="D255" s="0" t="s">
        <v>43</v>
      </c>
      <c r="E255" s="0" t="s">
        <v>12</v>
      </c>
      <c r="F255" s="3" t="n">
        <v>1230</v>
      </c>
      <c r="G255" s="3" t="n">
        <v>1720</v>
      </c>
    </row>
    <row r="256" customFormat="false" ht="15" hidden="false" customHeight="false" outlineLevel="0" collapsed="false">
      <c r="A256" s="0" t="s">
        <v>535</v>
      </c>
      <c r="B256" s="0" t="s">
        <v>536</v>
      </c>
      <c r="C256" s="0" t="s">
        <v>15</v>
      </c>
      <c r="D256" s="0" t="s">
        <v>234</v>
      </c>
      <c r="E256" s="0" t="s">
        <v>12</v>
      </c>
      <c r="F256" s="3" t="n">
        <v>1770</v>
      </c>
      <c r="G256" s="3" t="n">
        <v>2420</v>
      </c>
    </row>
    <row r="257" customFormat="false" ht="15" hidden="false" customHeight="false" outlineLevel="0" collapsed="false">
      <c r="A257" s="0" t="s">
        <v>537</v>
      </c>
      <c r="B257" s="0" t="s">
        <v>538</v>
      </c>
      <c r="C257" s="0" t="s">
        <v>53</v>
      </c>
      <c r="D257" s="0" t="s">
        <v>132</v>
      </c>
      <c r="E257" s="0" t="s">
        <v>12</v>
      </c>
      <c r="F257" s="3" t="n">
        <v>11860</v>
      </c>
      <c r="G257" s="3" t="n">
        <v>14760</v>
      </c>
    </row>
    <row r="258" customFormat="false" ht="15" hidden="false" customHeight="false" outlineLevel="0" collapsed="false">
      <c r="A258" s="0" t="s">
        <v>539</v>
      </c>
      <c r="B258" s="0" t="s">
        <v>540</v>
      </c>
      <c r="C258" s="0" t="s">
        <v>85</v>
      </c>
      <c r="D258" s="0" t="s">
        <v>86</v>
      </c>
      <c r="E258" s="0" t="s">
        <v>25</v>
      </c>
      <c r="F258" s="3" t="n">
        <v>3750</v>
      </c>
      <c r="G258" s="3" t="n">
        <v>4960</v>
      </c>
    </row>
    <row r="259" customFormat="false" ht="15" hidden="false" customHeight="false" outlineLevel="0" collapsed="false">
      <c r="A259" s="0" t="s">
        <v>541</v>
      </c>
      <c r="B259" s="0" t="s">
        <v>542</v>
      </c>
      <c r="C259" s="0" t="s">
        <v>39</v>
      </c>
      <c r="D259" s="0" t="s">
        <v>40</v>
      </c>
      <c r="E259" s="0" t="s">
        <v>12</v>
      </c>
      <c r="F259" s="3" t="n">
        <v>830</v>
      </c>
      <c r="G259" s="3" t="n">
        <v>1160</v>
      </c>
    </row>
    <row r="260" customFormat="false" ht="15" hidden="false" customHeight="false" outlineLevel="0" collapsed="false">
      <c r="A260" s="0" t="s">
        <v>543</v>
      </c>
      <c r="B260" s="0" t="s">
        <v>544</v>
      </c>
      <c r="C260" s="0" t="s">
        <v>10</v>
      </c>
      <c r="D260" s="0" t="s">
        <v>259</v>
      </c>
      <c r="E260" s="0" t="s">
        <v>12</v>
      </c>
      <c r="F260" s="3" t="n">
        <v>1890</v>
      </c>
      <c r="G260" s="3" t="n">
        <v>2550</v>
      </c>
    </row>
    <row r="261" customFormat="false" ht="15" hidden="false" customHeight="false" outlineLevel="0" collapsed="false">
      <c r="A261" s="0" t="s">
        <v>545</v>
      </c>
      <c r="B261" s="0" t="s">
        <v>546</v>
      </c>
      <c r="C261" s="0" t="s">
        <v>23</v>
      </c>
      <c r="D261" s="0" t="s">
        <v>60</v>
      </c>
      <c r="E261" s="0" t="s">
        <v>12</v>
      </c>
      <c r="F261" s="3" t="n">
        <v>1040</v>
      </c>
      <c r="G261" s="3" t="n">
        <v>1370</v>
      </c>
    </row>
    <row r="262" customFormat="false" ht="15" hidden="false" customHeight="false" outlineLevel="0" collapsed="false">
      <c r="A262" s="0" t="s">
        <v>547</v>
      </c>
      <c r="B262" s="0" t="s">
        <v>548</v>
      </c>
      <c r="C262" s="0" t="s">
        <v>39</v>
      </c>
      <c r="D262" s="0" t="s">
        <v>162</v>
      </c>
      <c r="E262" s="0" t="s">
        <v>12</v>
      </c>
      <c r="F262" s="3" t="n">
        <v>540</v>
      </c>
      <c r="G262" s="3" t="n">
        <v>740</v>
      </c>
    </row>
    <row r="263" customFormat="false" ht="15" hidden="false" customHeight="false" outlineLevel="0" collapsed="false">
      <c r="A263" s="0" t="s">
        <v>549</v>
      </c>
      <c r="B263" s="0" t="s">
        <v>550</v>
      </c>
      <c r="C263" s="0" t="s">
        <v>53</v>
      </c>
      <c r="D263" s="0" t="s">
        <v>141</v>
      </c>
      <c r="E263" s="0" t="s">
        <v>12</v>
      </c>
      <c r="F263" s="3" t="n">
        <v>7950</v>
      </c>
      <c r="G263" s="3" t="n">
        <v>11350</v>
      </c>
    </row>
    <row r="264" customFormat="false" ht="15" hidden="false" customHeight="false" outlineLevel="0" collapsed="false">
      <c r="A264" s="0" t="s">
        <v>551</v>
      </c>
      <c r="B264" s="0" t="s">
        <v>552</v>
      </c>
      <c r="C264" s="0" t="s">
        <v>53</v>
      </c>
      <c r="D264" s="0" t="s">
        <v>182</v>
      </c>
      <c r="E264" s="0" t="s">
        <v>12</v>
      </c>
      <c r="F264" s="3" t="n">
        <v>9650</v>
      </c>
      <c r="G264" s="3" t="n">
        <v>11920</v>
      </c>
    </row>
    <row r="265" customFormat="false" ht="15" hidden="false" customHeight="false" outlineLevel="0" collapsed="false">
      <c r="A265" s="0" t="s">
        <v>553</v>
      </c>
      <c r="B265" s="0" t="s">
        <v>554</v>
      </c>
      <c r="C265" s="0" t="s">
        <v>53</v>
      </c>
      <c r="D265" s="0" t="s">
        <v>54</v>
      </c>
      <c r="E265" s="0" t="s">
        <v>50</v>
      </c>
      <c r="F265" s="3" t="n">
        <v>4830</v>
      </c>
      <c r="G265" s="3" t="n">
        <v>5750</v>
      </c>
    </row>
    <row r="266" customFormat="false" ht="15" hidden="false" customHeight="false" outlineLevel="0" collapsed="false">
      <c r="A266" s="0" t="s">
        <v>555</v>
      </c>
      <c r="B266" s="0" t="s">
        <v>556</v>
      </c>
      <c r="C266" s="0" t="s">
        <v>10</v>
      </c>
      <c r="D266" s="0" t="s">
        <v>231</v>
      </c>
      <c r="E266" s="0" t="s">
        <v>12</v>
      </c>
      <c r="F266" s="3" t="n">
        <v>1870</v>
      </c>
      <c r="G266" s="3" t="n">
        <v>2370</v>
      </c>
    </row>
    <row r="267" customFormat="false" ht="15" hidden="false" customHeight="false" outlineLevel="0" collapsed="false">
      <c r="A267" s="0" t="s">
        <v>557</v>
      </c>
      <c r="B267" s="0" t="s">
        <v>558</v>
      </c>
      <c r="C267" s="0" t="s">
        <v>66</v>
      </c>
      <c r="D267" s="0" t="s">
        <v>167</v>
      </c>
      <c r="E267" s="0" t="s">
        <v>25</v>
      </c>
      <c r="F267" s="3" t="n">
        <v>790</v>
      </c>
      <c r="G267" s="3" t="n">
        <v>1080</v>
      </c>
    </row>
    <row r="268" customFormat="false" ht="15" hidden="false" customHeight="false" outlineLevel="0" collapsed="false">
      <c r="A268" s="0" t="s">
        <v>559</v>
      </c>
      <c r="B268" s="0" t="s">
        <v>560</v>
      </c>
      <c r="C268" s="0" t="s">
        <v>53</v>
      </c>
      <c r="D268" s="0" t="s">
        <v>132</v>
      </c>
      <c r="E268" s="0" t="s">
        <v>50</v>
      </c>
      <c r="F268" s="3" t="n">
        <v>7070</v>
      </c>
      <c r="G268" s="3" t="n">
        <v>8870</v>
      </c>
    </row>
    <row r="269" customFormat="false" ht="15" hidden="false" customHeight="false" outlineLevel="0" collapsed="false">
      <c r="A269" s="0" t="s">
        <v>561</v>
      </c>
      <c r="B269" s="0" t="s">
        <v>250</v>
      </c>
      <c r="C269" s="0" t="s">
        <v>10</v>
      </c>
      <c r="D269" s="0" t="s">
        <v>206</v>
      </c>
      <c r="E269" s="0" t="s">
        <v>12</v>
      </c>
      <c r="F269" s="3" t="n">
        <v>1460</v>
      </c>
      <c r="G269" s="3" t="n">
        <v>1800</v>
      </c>
    </row>
    <row r="270" customFormat="false" ht="15" hidden="false" customHeight="false" outlineLevel="0" collapsed="false">
      <c r="A270" s="0" t="s">
        <v>562</v>
      </c>
      <c r="B270" s="0" t="s">
        <v>563</v>
      </c>
      <c r="C270" s="0" t="s">
        <v>66</v>
      </c>
      <c r="D270" s="0" t="s">
        <v>197</v>
      </c>
      <c r="E270" s="0" t="s">
        <v>12</v>
      </c>
      <c r="F270" s="3" t="n">
        <v>1070</v>
      </c>
      <c r="G270" s="3" t="n">
        <v>1430</v>
      </c>
    </row>
    <row r="271" customFormat="false" ht="15" hidden="false" customHeight="false" outlineLevel="0" collapsed="false">
      <c r="A271" s="0" t="s">
        <v>564</v>
      </c>
      <c r="B271" s="0" t="s">
        <v>565</v>
      </c>
      <c r="C271" s="0" t="s">
        <v>39</v>
      </c>
      <c r="D271" s="0" t="s">
        <v>162</v>
      </c>
      <c r="E271" s="0" t="s">
        <v>12</v>
      </c>
      <c r="F271" s="3" t="n">
        <v>800</v>
      </c>
      <c r="G271" s="3" t="n">
        <v>1010</v>
      </c>
    </row>
    <row r="272" customFormat="false" ht="15" hidden="false" customHeight="false" outlineLevel="0" collapsed="false">
      <c r="A272" s="0" t="s">
        <v>566</v>
      </c>
      <c r="B272" s="0" t="s">
        <v>414</v>
      </c>
      <c r="C272" s="0" t="s">
        <v>23</v>
      </c>
      <c r="D272" s="0" t="s">
        <v>299</v>
      </c>
      <c r="E272" s="0" t="s">
        <v>12</v>
      </c>
      <c r="F272" s="3" t="n">
        <v>1270</v>
      </c>
      <c r="G272" s="3" t="n">
        <v>1700</v>
      </c>
    </row>
    <row r="273" customFormat="false" ht="15" hidden="false" customHeight="false" outlineLevel="0" collapsed="false">
      <c r="A273" s="0" t="s">
        <v>567</v>
      </c>
      <c r="B273" s="0" t="s">
        <v>568</v>
      </c>
      <c r="C273" s="0" t="s">
        <v>39</v>
      </c>
      <c r="D273" s="0" t="s">
        <v>43</v>
      </c>
      <c r="E273" s="0" t="s">
        <v>12</v>
      </c>
      <c r="F273" s="3" t="n">
        <v>680</v>
      </c>
      <c r="G273" s="3" t="n">
        <v>890</v>
      </c>
    </row>
    <row r="274" customFormat="false" ht="15" hidden="false" customHeight="false" outlineLevel="0" collapsed="false">
      <c r="A274" s="0" t="s">
        <v>569</v>
      </c>
      <c r="B274" s="0" t="s">
        <v>321</v>
      </c>
      <c r="C274" s="0" t="s">
        <v>23</v>
      </c>
      <c r="D274" s="0" t="s">
        <v>60</v>
      </c>
      <c r="E274" s="0" t="s">
        <v>12</v>
      </c>
      <c r="F274" s="3" t="n">
        <v>1450</v>
      </c>
      <c r="G274" s="3" t="n">
        <v>1780</v>
      </c>
    </row>
    <row r="275" customFormat="false" ht="15" hidden="false" customHeight="false" outlineLevel="0" collapsed="false">
      <c r="A275" s="0" t="s">
        <v>570</v>
      </c>
      <c r="B275" s="0" t="s">
        <v>346</v>
      </c>
      <c r="C275" s="0" t="s">
        <v>66</v>
      </c>
      <c r="D275" s="0" t="s">
        <v>138</v>
      </c>
      <c r="E275" s="0" t="s">
        <v>12</v>
      </c>
      <c r="F275" s="3" t="n">
        <v>1220</v>
      </c>
      <c r="G275" s="3" t="n">
        <v>1580</v>
      </c>
    </row>
    <row r="276" customFormat="false" ht="15" hidden="false" customHeight="false" outlineLevel="0" collapsed="false">
      <c r="A276" s="0" t="s">
        <v>571</v>
      </c>
      <c r="B276" s="0" t="s">
        <v>572</v>
      </c>
      <c r="C276" s="0" t="s">
        <v>10</v>
      </c>
      <c r="D276" s="0" t="s">
        <v>259</v>
      </c>
      <c r="E276" s="0" t="s">
        <v>50</v>
      </c>
      <c r="F276" s="3" t="n">
        <v>1180</v>
      </c>
      <c r="G276" s="3" t="n">
        <v>1480</v>
      </c>
    </row>
    <row r="277" customFormat="false" ht="15" hidden="false" customHeight="false" outlineLevel="0" collapsed="false">
      <c r="A277" s="0" t="s">
        <v>573</v>
      </c>
      <c r="B277" s="0" t="s">
        <v>379</v>
      </c>
      <c r="C277" s="0" t="s">
        <v>23</v>
      </c>
      <c r="D277" s="0" t="s">
        <v>49</v>
      </c>
      <c r="E277" s="0" t="s">
        <v>12</v>
      </c>
      <c r="F277" s="3" t="n">
        <v>1640</v>
      </c>
      <c r="G277" s="3" t="n">
        <v>2050</v>
      </c>
    </row>
    <row r="278" customFormat="false" ht="15" hidden="false" customHeight="false" outlineLevel="0" collapsed="false">
      <c r="A278" s="0" t="s">
        <v>574</v>
      </c>
      <c r="B278" s="0" t="s">
        <v>236</v>
      </c>
      <c r="C278" s="0" t="s">
        <v>28</v>
      </c>
      <c r="D278" s="0" t="s">
        <v>63</v>
      </c>
      <c r="E278" s="0" t="s">
        <v>25</v>
      </c>
      <c r="F278" s="3" t="n">
        <v>2290</v>
      </c>
      <c r="G278" s="3" t="n">
        <v>2760</v>
      </c>
    </row>
    <row r="279" customFormat="false" ht="15" hidden="false" customHeight="false" outlineLevel="0" collapsed="false">
      <c r="A279" s="0" t="s">
        <v>575</v>
      </c>
      <c r="B279" s="0" t="s">
        <v>576</v>
      </c>
      <c r="C279" s="0" t="s">
        <v>53</v>
      </c>
      <c r="D279" s="0" t="s">
        <v>141</v>
      </c>
      <c r="E279" s="0" t="s">
        <v>12</v>
      </c>
      <c r="F279" s="3" t="n">
        <v>8490</v>
      </c>
      <c r="G279" s="3" t="n">
        <v>11890</v>
      </c>
    </row>
    <row r="280" customFormat="false" ht="15" hidden="false" customHeight="false" outlineLevel="0" collapsed="false">
      <c r="A280" s="0" t="s">
        <v>577</v>
      </c>
      <c r="B280" s="0" t="s">
        <v>578</v>
      </c>
      <c r="C280" s="0" t="s">
        <v>39</v>
      </c>
      <c r="D280" s="0" t="s">
        <v>43</v>
      </c>
      <c r="E280" s="0" t="s">
        <v>12</v>
      </c>
      <c r="F280" s="3" t="n">
        <v>1040</v>
      </c>
      <c r="G280" s="3" t="n">
        <v>1390</v>
      </c>
    </row>
    <row r="281" customFormat="false" ht="15" hidden="false" customHeight="false" outlineLevel="0" collapsed="false">
      <c r="A281" s="0" t="s">
        <v>579</v>
      </c>
      <c r="B281" s="0" t="s">
        <v>410</v>
      </c>
      <c r="C281" s="0" t="s">
        <v>15</v>
      </c>
      <c r="D281" s="0" t="s">
        <v>214</v>
      </c>
      <c r="E281" s="0" t="s">
        <v>12</v>
      </c>
      <c r="F281" s="3" t="n">
        <v>1500</v>
      </c>
      <c r="G281" s="3" t="n">
        <v>1880</v>
      </c>
    </row>
    <row r="282" customFormat="false" ht="15" hidden="false" customHeight="false" outlineLevel="0" collapsed="false">
      <c r="A282" s="0" t="s">
        <v>580</v>
      </c>
      <c r="B282" s="0" t="s">
        <v>581</v>
      </c>
      <c r="C282" s="0" t="s">
        <v>53</v>
      </c>
      <c r="D282" s="0" t="s">
        <v>182</v>
      </c>
      <c r="E282" s="0" t="s">
        <v>25</v>
      </c>
      <c r="F282" s="3" t="n">
        <v>18340</v>
      </c>
      <c r="G282" s="3" t="n">
        <v>24180</v>
      </c>
    </row>
    <row r="283" customFormat="false" ht="15" hidden="false" customHeight="false" outlineLevel="0" collapsed="false">
      <c r="A283" s="0" t="s">
        <v>582</v>
      </c>
      <c r="B283" s="0" t="s">
        <v>583</v>
      </c>
      <c r="C283" s="0" t="s">
        <v>53</v>
      </c>
      <c r="D283" s="0" t="s">
        <v>132</v>
      </c>
      <c r="E283" s="0" t="s">
        <v>25</v>
      </c>
      <c r="F283" s="3" t="n">
        <v>15890</v>
      </c>
      <c r="G283" s="3" t="n">
        <v>19290</v>
      </c>
    </row>
    <row r="284" customFormat="false" ht="15" hidden="false" customHeight="false" outlineLevel="0" collapsed="false">
      <c r="A284" s="0" t="s">
        <v>584</v>
      </c>
      <c r="B284" s="0" t="s">
        <v>585</v>
      </c>
      <c r="C284" s="0" t="s">
        <v>53</v>
      </c>
      <c r="D284" s="0" t="s">
        <v>107</v>
      </c>
      <c r="E284" s="0" t="s">
        <v>12</v>
      </c>
      <c r="F284" s="3" t="n">
        <v>6130</v>
      </c>
      <c r="G284" s="3" t="n">
        <v>8280</v>
      </c>
    </row>
    <row r="285" customFormat="false" ht="15" hidden="false" customHeight="false" outlineLevel="0" collapsed="false">
      <c r="A285" s="0" t="s">
        <v>586</v>
      </c>
      <c r="B285" s="0" t="s">
        <v>587</v>
      </c>
      <c r="C285" s="0" t="s">
        <v>66</v>
      </c>
      <c r="D285" s="0" t="s">
        <v>67</v>
      </c>
      <c r="E285" s="0" t="s">
        <v>12</v>
      </c>
      <c r="F285" s="3" t="n">
        <v>1200</v>
      </c>
      <c r="G285" s="3" t="n">
        <v>1700</v>
      </c>
    </row>
    <row r="286" customFormat="false" ht="15" hidden="false" customHeight="false" outlineLevel="0" collapsed="false">
      <c r="A286" s="0" t="s">
        <v>588</v>
      </c>
      <c r="B286" s="0" t="s">
        <v>589</v>
      </c>
      <c r="C286" s="0" t="s">
        <v>15</v>
      </c>
      <c r="D286" s="0" t="s">
        <v>70</v>
      </c>
      <c r="E286" s="0" t="s">
        <v>25</v>
      </c>
      <c r="F286" s="3" t="n">
        <v>2250</v>
      </c>
      <c r="G286" s="3" t="n">
        <v>3070</v>
      </c>
    </row>
    <row r="287" customFormat="false" ht="15" hidden="false" customHeight="false" outlineLevel="0" collapsed="false">
      <c r="A287" s="0" t="s">
        <v>590</v>
      </c>
      <c r="B287" s="0" t="s">
        <v>591</v>
      </c>
      <c r="C287" s="0" t="s">
        <v>19</v>
      </c>
      <c r="D287" s="0" t="s">
        <v>34</v>
      </c>
      <c r="E287" s="0" t="s">
        <v>12</v>
      </c>
      <c r="F287" s="3" t="n">
        <v>1460</v>
      </c>
      <c r="G287" s="3" t="n">
        <v>1850</v>
      </c>
    </row>
    <row r="288" customFormat="false" ht="15" hidden="false" customHeight="false" outlineLevel="0" collapsed="false">
      <c r="A288" s="0" t="s">
        <v>592</v>
      </c>
      <c r="B288" s="0" t="s">
        <v>593</v>
      </c>
      <c r="C288" s="0" t="s">
        <v>15</v>
      </c>
      <c r="D288" s="0" t="s">
        <v>54</v>
      </c>
      <c r="E288" s="0" t="s">
        <v>12</v>
      </c>
      <c r="F288" s="3" t="n">
        <v>2680</v>
      </c>
      <c r="G288" s="3" t="n">
        <v>3190</v>
      </c>
    </row>
    <row r="289" customFormat="false" ht="15" hidden="false" customHeight="false" outlineLevel="0" collapsed="false">
      <c r="A289" s="0" t="s">
        <v>594</v>
      </c>
      <c r="B289" s="0" t="s">
        <v>595</v>
      </c>
      <c r="C289" s="0" t="s">
        <v>15</v>
      </c>
      <c r="D289" s="0" t="s">
        <v>74</v>
      </c>
      <c r="E289" s="0" t="s">
        <v>12</v>
      </c>
      <c r="F289" s="3" t="n">
        <v>1760</v>
      </c>
      <c r="G289" s="3" t="n">
        <v>2540</v>
      </c>
    </row>
    <row r="290" customFormat="false" ht="15" hidden="false" customHeight="false" outlineLevel="0" collapsed="false">
      <c r="A290" s="0" t="s">
        <v>596</v>
      </c>
      <c r="B290" s="0" t="s">
        <v>177</v>
      </c>
      <c r="C290" s="0" t="s">
        <v>53</v>
      </c>
      <c r="D290" s="0" t="s">
        <v>107</v>
      </c>
      <c r="E290" s="0" t="s">
        <v>12</v>
      </c>
      <c r="F290" s="3" t="n">
        <v>12160</v>
      </c>
      <c r="G290" s="3" t="n">
        <v>15170</v>
      </c>
    </row>
    <row r="291" customFormat="false" ht="15" hidden="false" customHeight="false" outlineLevel="0" collapsed="false">
      <c r="A291" s="0" t="s">
        <v>597</v>
      </c>
      <c r="B291" s="0" t="s">
        <v>598</v>
      </c>
      <c r="C291" s="0" t="s">
        <v>53</v>
      </c>
      <c r="D291" s="0" t="s">
        <v>132</v>
      </c>
      <c r="E291" s="0" t="s">
        <v>12</v>
      </c>
      <c r="F291" s="3" t="n">
        <v>12820</v>
      </c>
      <c r="G291" s="3" t="n">
        <v>15930</v>
      </c>
    </row>
    <row r="292" customFormat="false" ht="15" hidden="false" customHeight="false" outlineLevel="0" collapsed="false">
      <c r="A292" s="0" t="s">
        <v>599</v>
      </c>
      <c r="B292" s="0" t="s">
        <v>600</v>
      </c>
      <c r="C292" s="0" t="s">
        <v>23</v>
      </c>
      <c r="D292" s="0" t="s">
        <v>24</v>
      </c>
      <c r="E292" s="0" t="s">
        <v>12</v>
      </c>
      <c r="F292" s="3" t="n">
        <v>770</v>
      </c>
      <c r="G292" s="3" t="n">
        <v>950</v>
      </c>
    </row>
    <row r="293" customFormat="false" ht="15" hidden="false" customHeight="false" outlineLevel="0" collapsed="false">
      <c r="A293" s="0" t="s">
        <v>601</v>
      </c>
      <c r="B293" s="0" t="s">
        <v>602</v>
      </c>
      <c r="C293" s="0" t="s">
        <v>15</v>
      </c>
      <c r="D293" s="0" t="s">
        <v>74</v>
      </c>
      <c r="E293" s="0" t="s">
        <v>12</v>
      </c>
      <c r="F293" s="3" t="n">
        <v>1810</v>
      </c>
      <c r="G293" s="3" t="n">
        <v>2240</v>
      </c>
    </row>
    <row r="294" customFormat="false" ht="15" hidden="false" customHeight="false" outlineLevel="0" collapsed="false">
      <c r="A294" s="0" t="s">
        <v>603</v>
      </c>
      <c r="B294" s="0" t="s">
        <v>405</v>
      </c>
      <c r="C294" s="0" t="s">
        <v>39</v>
      </c>
      <c r="D294" s="0" t="s">
        <v>150</v>
      </c>
      <c r="E294" s="0" t="s">
        <v>50</v>
      </c>
      <c r="F294" s="3" t="n">
        <v>330</v>
      </c>
      <c r="G294" s="3" t="n">
        <v>450</v>
      </c>
    </row>
    <row r="295" customFormat="false" ht="15" hidden="false" customHeight="false" outlineLevel="0" collapsed="false">
      <c r="A295" s="0" t="s">
        <v>604</v>
      </c>
      <c r="B295" s="0" t="s">
        <v>605</v>
      </c>
      <c r="C295" s="0" t="s">
        <v>28</v>
      </c>
      <c r="D295" s="0" t="s">
        <v>116</v>
      </c>
      <c r="E295" s="0" t="s">
        <v>12</v>
      </c>
      <c r="F295" s="3" t="n">
        <v>1230</v>
      </c>
      <c r="G295" s="3" t="n">
        <v>1500</v>
      </c>
    </row>
    <row r="296" customFormat="false" ht="15" hidden="false" customHeight="false" outlineLevel="0" collapsed="false">
      <c r="A296" s="0" t="s">
        <v>606</v>
      </c>
      <c r="B296" s="0" t="s">
        <v>607</v>
      </c>
      <c r="C296" s="0" t="s">
        <v>66</v>
      </c>
      <c r="D296" s="0" t="s">
        <v>138</v>
      </c>
      <c r="E296" s="0" t="s">
        <v>12</v>
      </c>
      <c r="F296" s="3" t="n">
        <v>1520</v>
      </c>
      <c r="G296" s="3" t="n">
        <v>1820</v>
      </c>
    </row>
    <row r="297" customFormat="false" ht="15" hidden="false" customHeight="false" outlineLevel="0" collapsed="false">
      <c r="A297" s="0" t="s">
        <v>608</v>
      </c>
      <c r="B297" s="0" t="s">
        <v>609</v>
      </c>
      <c r="C297" s="0" t="s">
        <v>39</v>
      </c>
      <c r="D297" s="0" t="s">
        <v>43</v>
      </c>
      <c r="E297" s="0" t="s">
        <v>12</v>
      </c>
      <c r="F297" s="3" t="n">
        <v>1260</v>
      </c>
      <c r="G297" s="3" t="n">
        <v>1590</v>
      </c>
    </row>
    <row r="298" customFormat="false" ht="15" hidden="false" customHeight="false" outlineLevel="0" collapsed="false">
      <c r="A298" s="0" t="s">
        <v>610</v>
      </c>
      <c r="B298" s="0" t="s">
        <v>611</v>
      </c>
      <c r="C298" s="0" t="s">
        <v>23</v>
      </c>
      <c r="D298" s="0" t="s">
        <v>24</v>
      </c>
      <c r="E298" s="0" t="s">
        <v>50</v>
      </c>
      <c r="F298" s="3" t="n">
        <v>1700</v>
      </c>
      <c r="G298" s="3" t="n">
        <v>2280</v>
      </c>
    </row>
    <row r="299" customFormat="false" ht="15" hidden="false" customHeight="false" outlineLevel="0" collapsed="false">
      <c r="A299" s="0" t="s">
        <v>612</v>
      </c>
      <c r="B299" s="0" t="s">
        <v>613</v>
      </c>
      <c r="C299" s="0" t="s">
        <v>19</v>
      </c>
      <c r="D299" s="0" t="s">
        <v>34</v>
      </c>
      <c r="E299" s="0" t="s">
        <v>12</v>
      </c>
      <c r="F299" s="3" t="n">
        <v>2060</v>
      </c>
      <c r="G299" s="3" t="n">
        <v>2590</v>
      </c>
    </row>
    <row r="300" customFormat="false" ht="15" hidden="false" customHeight="false" outlineLevel="0" collapsed="false">
      <c r="A300" s="0" t="s">
        <v>614</v>
      </c>
      <c r="B300" s="0" t="s">
        <v>615</v>
      </c>
      <c r="C300" s="0" t="s">
        <v>23</v>
      </c>
      <c r="D300" s="0" t="s">
        <v>46</v>
      </c>
      <c r="E300" s="0" t="s">
        <v>12</v>
      </c>
      <c r="F300" s="3" t="n">
        <v>1480</v>
      </c>
      <c r="G300" s="3" t="n">
        <v>1980</v>
      </c>
    </row>
    <row r="301" customFormat="false" ht="15" hidden="false" customHeight="false" outlineLevel="0" collapsed="false">
      <c r="A301" s="0" t="s">
        <v>616</v>
      </c>
      <c r="B301" s="0" t="s">
        <v>617</v>
      </c>
      <c r="C301" s="0" t="s">
        <v>85</v>
      </c>
      <c r="D301" s="0" t="s">
        <v>86</v>
      </c>
      <c r="E301" s="0" t="s">
        <v>50</v>
      </c>
      <c r="F301" s="3" t="n">
        <v>2760</v>
      </c>
      <c r="G301" s="3" t="n">
        <v>3760</v>
      </c>
    </row>
    <row r="302" customFormat="false" ht="15" hidden="false" customHeight="false" outlineLevel="0" collapsed="false">
      <c r="A302" s="0" t="s">
        <v>618</v>
      </c>
      <c r="B302" s="0" t="s">
        <v>619</v>
      </c>
      <c r="C302" s="0" t="s">
        <v>28</v>
      </c>
      <c r="D302" s="0" t="s">
        <v>29</v>
      </c>
      <c r="E302" s="0" t="s">
        <v>12</v>
      </c>
      <c r="F302" s="3" t="n">
        <v>750</v>
      </c>
      <c r="G302" s="3" t="n">
        <v>890</v>
      </c>
    </row>
    <row r="303" customFormat="false" ht="15" hidden="false" customHeight="false" outlineLevel="0" collapsed="false">
      <c r="A303" s="0" t="s">
        <v>620</v>
      </c>
      <c r="B303" s="0" t="s">
        <v>621</v>
      </c>
      <c r="C303" s="0" t="s">
        <v>28</v>
      </c>
      <c r="D303" s="0" t="s">
        <v>89</v>
      </c>
      <c r="E303" s="0" t="s">
        <v>12</v>
      </c>
      <c r="F303" s="3" t="n">
        <v>960</v>
      </c>
      <c r="G303" s="3" t="n">
        <v>1230</v>
      </c>
    </row>
    <row r="304" customFormat="false" ht="15" hidden="false" customHeight="false" outlineLevel="0" collapsed="false">
      <c r="A304" s="0" t="s">
        <v>622</v>
      </c>
      <c r="B304" s="0" t="s">
        <v>623</v>
      </c>
      <c r="C304" s="0" t="s">
        <v>10</v>
      </c>
      <c r="D304" s="0" t="s">
        <v>259</v>
      </c>
      <c r="E304" s="0" t="s">
        <v>25</v>
      </c>
      <c r="F304" s="3" t="n">
        <v>780</v>
      </c>
      <c r="G304" s="3" t="n">
        <v>1110</v>
      </c>
    </row>
    <row r="305" customFormat="false" ht="15" hidden="false" customHeight="false" outlineLevel="0" collapsed="false">
      <c r="A305" s="0" t="s">
        <v>624</v>
      </c>
      <c r="B305" s="0" t="s">
        <v>625</v>
      </c>
      <c r="C305" s="0" t="s">
        <v>39</v>
      </c>
      <c r="D305" s="0" t="s">
        <v>442</v>
      </c>
      <c r="E305" s="0" t="s">
        <v>25</v>
      </c>
      <c r="F305" s="3" t="n">
        <v>480</v>
      </c>
      <c r="G305" s="3" t="n">
        <v>620</v>
      </c>
    </row>
    <row r="306" customFormat="false" ht="15" hidden="false" customHeight="false" outlineLevel="0" collapsed="false">
      <c r="A306" s="0" t="s">
        <v>626</v>
      </c>
      <c r="B306" s="0" t="s">
        <v>439</v>
      </c>
      <c r="C306" s="0" t="s">
        <v>73</v>
      </c>
      <c r="D306" s="0" t="s">
        <v>119</v>
      </c>
      <c r="E306" s="0" t="s">
        <v>50</v>
      </c>
      <c r="F306" s="3" t="n">
        <v>250</v>
      </c>
      <c r="G306" s="3" t="n">
        <v>330</v>
      </c>
    </row>
    <row r="307" customFormat="false" ht="15" hidden="false" customHeight="false" outlineLevel="0" collapsed="false">
      <c r="A307" s="0" t="s">
        <v>627</v>
      </c>
      <c r="B307" s="0" t="s">
        <v>628</v>
      </c>
      <c r="C307" s="0" t="s">
        <v>53</v>
      </c>
      <c r="D307" s="0" t="s">
        <v>141</v>
      </c>
      <c r="E307" s="0" t="s">
        <v>12</v>
      </c>
      <c r="F307" s="3" t="n">
        <v>6050</v>
      </c>
      <c r="G307" s="3" t="n">
        <v>7150</v>
      </c>
    </row>
    <row r="308" customFormat="false" ht="15" hidden="false" customHeight="false" outlineLevel="0" collapsed="false">
      <c r="A308" s="0" t="s">
        <v>629</v>
      </c>
      <c r="B308" s="0" t="s">
        <v>630</v>
      </c>
      <c r="C308" s="0" t="s">
        <v>53</v>
      </c>
      <c r="D308" s="0" t="s">
        <v>54</v>
      </c>
      <c r="E308" s="0" t="s">
        <v>25</v>
      </c>
      <c r="F308" s="3" t="n">
        <v>8730</v>
      </c>
      <c r="G308" s="3" t="n">
        <v>12060</v>
      </c>
    </row>
    <row r="309" customFormat="false" ht="15" hidden="false" customHeight="false" outlineLevel="0" collapsed="false">
      <c r="A309" s="0" t="s">
        <v>631</v>
      </c>
      <c r="B309" s="0" t="s">
        <v>356</v>
      </c>
      <c r="C309" s="0" t="s">
        <v>39</v>
      </c>
      <c r="D309" s="0" t="s">
        <v>150</v>
      </c>
      <c r="E309" s="0" t="s">
        <v>25</v>
      </c>
      <c r="F309" s="3" t="n">
        <v>650</v>
      </c>
      <c r="G309" s="3" t="n">
        <v>810</v>
      </c>
    </row>
    <row r="310" customFormat="false" ht="15" hidden="false" customHeight="false" outlineLevel="0" collapsed="false">
      <c r="A310" s="0" t="s">
        <v>632</v>
      </c>
      <c r="B310" s="0" t="s">
        <v>633</v>
      </c>
      <c r="C310" s="0" t="s">
        <v>53</v>
      </c>
      <c r="D310" s="0" t="s">
        <v>132</v>
      </c>
      <c r="E310" s="0" t="s">
        <v>12</v>
      </c>
      <c r="F310" s="3" t="n">
        <v>4570</v>
      </c>
      <c r="G310" s="3" t="n">
        <v>6450</v>
      </c>
    </row>
    <row r="311" customFormat="false" ht="15" hidden="false" customHeight="false" outlineLevel="0" collapsed="false">
      <c r="A311" s="0" t="s">
        <v>634</v>
      </c>
      <c r="B311" s="0" t="s">
        <v>124</v>
      </c>
      <c r="C311" s="0" t="s">
        <v>53</v>
      </c>
      <c r="D311" s="0" t="s">
        <v>24</v>
      </c>
      <c r="E311" s="0" t="s">
        <v>25</v>
      </c>
      <c r="F311" s="3" t="n">
        <v>13480</v>
      </c>
      <c r="G311" s="3" t="n">
        <v>15910</v>
      </c>
    </row>
    <row r="312" customFormat="false" ht="15" hidden="false" customHeight="false" outlineLevel="0" collapsed="false">
      <c r="A312" s="0" t="s">
        <v>635</v>
      </c>
      <c r="B312" s="0" t="s">
        <v>164</v>
      </c>
      <c r="C312" s="0" t="s">
        <v>53</v>
      </c>
      <c r="D312" s="0" t="s">
        <v>132</v>
      </c>
      <c r="E312" s="0" t="s">
        <v>25</v>
      </c>
      <c r="F312" s="3" t="n">
        <v>17270</v>
      </c>
      <c r="G312" s="3" t="n">
        <v>21210</v>
      </c>
    </row>
    <row r="313" customFormat="false" ht="15" hidden="false" customHeight="false" outlineLevel="0" collapsed="false">
      <c r="A313" s="0" t="s">
        <v>636</v>
      </c>
      <c r="B313" s="0" t="s">
        <v>388</v>
      </c>
      <c r="C313" s="0" t="s">
        <v>28</v>
      </c>
      <c r="D313" s="0" t="s">
        <v>57</v>
      </c>
      <c r="E313" s="0" t="s">
        <v>12</v>
      </c>
      <c r="F313" s="3" t="n">
        <v>950</v>
      </c>
      <c r="G313" s="3" t="n">
        <v>1300</v>
      </c>
    </row>
    <row r="314" customFormat="false" ht="15" hidden="false" customHeight="false" outlineLevel="0" collapsed="false">
      <c r="A314" s="0" t="s">
        <v>637</v>
      </c>
      <c r="B314" s="0" t="s">
        <v>638</v>
      </c>
      <c r="C314" s="0" t="s">
        <v>39</v>
      </c>
      <c r="D314" s="0" t="s">
        <v>502</v>
      </c>
      <c r="E314" s="0" t="s">
        <v>25</v>
      </c>
      <c r="F314" s="3" t="n">
        <v>370</v>
      </c>
      <c r="G314" s="3" t="n">
        <v>510</v>
      </c>
    </row>
    <row r="315" customFormat="false" ht="15" hidden="false" customHeight="false" outlineLevel="0" collapsed="false">
      <c r="A315" s="0" t="s">
        <v>639</v>
      </c>
      <c r="B315" s="0" t="s">
        <v>640</v>
      </c>
      <c r="C315" s="0" t="s">
        <v>28</v>
      </c>
      <c r="D315" s="0" t="s">
        <v>89</v>
      </c>
      <c r="E315" s="0" t="s">
        <v>12</v>
      </c>
      <c r="F315" s="3" t="n">
        <v>460</v>
      </c>
      <c r="G315" s="3" t="n">
        <v>590</v>
      </c>
    </row>
    <row r="316" customFormat="false" ht="15" hidden="false" customHeight="false" outlineLevel="0" collapsed="false">
      <c r="A316" s="0" t="s">
        <v>641</v>
      </c>
      <c r="B316" s="0" t="s">
        <v>642</v>
      </c>
      <c r="C316" s="0" t="s">
        <v>10</v>
      </c>
      <c r="D316" s="0" t="s">
        <v>211</v>
      </c>
      <c r="E316" s="0" t="s">
        <v>25</v>
      </c>
      <c r="F316" s="3" t="n">
        <v>1470</v>
      </c>
      <c r="G316" s="3" t="n">
        <v>2120</v>
      </c>
    </row>
    <row r="317" customFormat="false" ht="15" hidden="false" customHeight="false" outlineLevel="0" collapsed="false">
      <c r="A317" s="0" t="s">
        <v>643</v>
      </c>
      <c r="B317" s="0" t="s">
        <v>644</v>
      </c>
      <c r="C317" s="0" t="s">
        <v>39</v>
      </c>
      <c r="D317" s="0" t="s">
        <v>162</v>
      </c>
      <c r="E317" s="0" t="s">
        <v>12</v>
      </c>
      <c r="F317" s="3" t="n">
        <v>1180</v>
      </c>
      <c r="G317" s="3" t="n">
        <v>1400</v>
      </c>
    </row>
    <row r="318" customFormat="false" ht="15" hidden="false" customHeight="false" outlineLevel="0" collapsed="false">
      <c r="A318" s="0" t="s">
        <v>645</v>
      </c>
      <c r="B318" s="0" t="s">
        <v>646</v>
      </c>
      <c r="C318" s="0" t="s">
        <v>53</v>
      </c>
      <c r="D318" s="0" t="s">
        <v>182</v>
      </c>
      <c r="E318" s="0" t="s">
        <v>12</v>
      </c>
      <c r="F318" s="3" t="n">
        <v>8780</v>
      </c>
      <c r="G318" s="3" t="n">
        <v>12110</v>
      </c>
    </row>
    <row r="319" customFormat="false" ht="15" hidden="false" customHeight="false" outlineLevel="0" collapsed="false">
      <c r="A319" s="0" t="s">
        <v>647</v>
      </c>
      <c r="B319" s="0" t="s">
        <v>335</v>
      </c>
      <c r="C319" s="0" t="s">
        <v>73</v>
      </c>
      <c r="D319" s="0" t="s">
        <v>122</v>
      </c>
      <c r="E319" s="0" t="s">
        <v>50</v>
      </c>
      <c r="F319" s="3" t="n">
        <v>520</v>
      </c>
      <c r="G319" s="3" t="n">
        <v>630</v>
      </c>
    </row>
    <row r="320" customFormat="false" ht="15" hidden="false" customHeight="false" outlineLevel="0" collapsed="false">
      <c r="A320" s="0" t="s">
        <v>648</v>
      </c>
      <c r="B320" s="0" t="s">
        <v>164</v>
      </c>
      <c r="C320" s="0" t="s">
        <v>53</v>
      </c>
      <c r="D320" s="0" t="s">
        <v>132</v>
      </c>
      <c r="E320" s="0" t="s">
        <v>12</v>
      </c>
      <c r="F320" s="3" t="n">
        <v>19330</v>
      </c>
      <c r="G320" s="3" t="n">
        <v>23250</v>
      </c>
    </row>
    <row r="321" customFormat="false" ht="15" hidden="false" customHeight="false" outlineLevel="0" collapsed="false">
      <c r="A321" s="0" t="s">
        <v>649</v>
      </c>
      <c r="B321" s="0" t="s">
        <v>650</v>
      </c>
      <c r="C321" s="0" t="s">
        <v>28</v>
      </c>
      <c r="D321" s="0" t="s">
        <v>116</v>
      </c>
      <c r="E321" s="0" t="s">
        <v>12</v>
      </c>
      <c r="F321" s="3" t="n">
        <v>1320</v>
      </c>
      <c r="G321" s="3" t="n">
        <v>1600</v>
      </c>
    </row>
    <row r="322" customFormat="false" ht="15" hidden="false" customHeight="false" outlineLevel="0" collapsed="false">
      <c r="A322" s="0" t="s">
        <v>651</v>
      </c>
      <c r="B322" s="0" t="s">
        <v>652</v>
      </c>
      <c r="C322" s="0" t="s">
        <v>28</v>
      </c>
      <c r="D322" s="0" t="s">
        <v>89</v>
      </c>
      <c r="E322" s="0" t="s">
        <v>12</v>
      </c>
      <c r="F322" s="3" t="n">
        <v>770</v>
      </c>
      <c r="G322" s="3" t="n">
        <v>920</v>
      </c>
    </row>
    <row r="323" customFormat="false" ht="15" hidden="false" customHeight="false" outlineLevel="0" collapsed="false">
      <c r="A323" s="0" t="s">
        <v>653</v>
      </c>
      <c r="B323" s="0" t="s">
        <v>367</v>
      </c>
      <c r="C323" s="0" t="s">
        <v>23</v>
      </c>
      <c r="D323" s="0" t="s">
        <v>24</v>
      </c>
      <c r="E323" s="0" t="s">
        <v>12</v>
      </c>
      <c r="F323" s="3" t="n">
        <v>1380</v>
      </c>
      <c r="G323" s="3" t="n">
        <v>1740</v>
      </c>
    </row>
    <row r="324" customFormat="false" ht="15" hidden="false" customHeight="false" outlineLevel="0" collapsed="false">
      <c r="A324" s="0" t="s">
        <v>654</v>
      </c>
      <c r="B324" s="0" t="s">
        <v>655</v>
      </c>
      <c r="C324" s="0" t="s">
        <v>66</v>
      </c>
      <c r="D324" s="0" t="s">
        <v>197</v>
      </c>
      <c r="E324" s="0" t="s">
        <v>25</v>
      </c>
      <c r="F324" s="3" t="n">
        <v>1500</v>
      </c>
      <c r="G324" s="3" t="n">
        <v>1800</v>
      </c>
    </row>
    <row r="325" customFormat="false" ht="15" hidden="false" customHeight="false" outlineLevel="0" collapsed="false">
      <c r="A325" s="0" t="s">
        <v>656</v>
      </c>
      <c r="B325" s="0" t="s">
        <v>657</v>
      </c>
      <c r="C325" s="0" t="s">
        <v>10</v>
      </c>
      <c r="D325" s="0" t="s">
        <v>206</v>
      </c>
      <c r="E325" s="0" t="s">
        <v>25</v>
      </c>
      <c r="F325" s="3" t="n">
        <v>1000</v>
      </c>
      <c r="G325" s="3" t="n">
        <v>1370</v>
      </c>
    </row>
    <row r="326" customFormat="false" ht="15" hidden="false" customHeight="false" outlineLevel="0" collapsed="false">
      <c r="A326" s="0" t="s">
        <v>658</v>
      </c>
      <c r="B326" s="0" t="s">
        <v>365</v>
      </c>
      <c r="C326" s="0" t="s">
        <v>15</v>
      </c>
      <c r="D326" s="0" t="s">
        <v>135</v>
      </c>
      <c r="E326" s="0" t="s">
        <v>12</v>
      </c>
      <c r="F326" s="3" t="n">
        <v>480</v>
      </c>
      <c r="G326" s="3" t="n">
        <v>610</v>
      </c>
    </row>
    <row r="327" customFormat="false" ht="15" hidden="false" customHeight="false" outlineLevel="0" collapsed="false">
      <c r="A327" s="0" t="s">
        <v>659</v>
      </c>
      <c r="B327" s="0" t="s">
        <v>660</v>
      </c>
      <c r="C327" s="0" t="s">
        <v>15</v>
      </c>
      <c r="D327" s="0" t="s">
        <v>74</v>
      </c>
      <c r="E327" s="0" t="s">
        <v>12</v>
      </c>
      <c r="F327" s="3" t="n">
        <v>2850</v>
      </c>
      <c r="G327" s="3" t="n">
        <v>3470</v>
      </c>
    </row>
    <row r="328" customFormat="false" ht="15" hidden="false" customHeight="false" outlineLevel="0" collapsed="false">
      <c r="A328" s="0" t="s">
        <v>661</v>
      </c>
      <c r="B328" s="0" t="s">
        <v>662</v>
      </c>
      <c r="C328" s="0" t="s">
        <v>15</v>
      </c>
      <c r="D328" s="0" t="s">
        <v>214</v>
      </c>
      <c r="E328" s="0" t="s">
        <v>12</v>
      </c>
      <c r="F328" s="3" t="n">
        <v>2410</v>
      </c>
      <c r="G328" s="3" t="n">
        <v>3450</v>
      </c>
    </row>
    <row r="329" customFormat="false" ht="15" hidden="false" customHeight="false" outlineLevel="0" collapsed="false">
      <c r="A329" s="0" t="s">
        <v>663</v>
      </c>
      <c r="B329" s="0" t="s">
        <v>664</v>
      </c>
      <c r="C329" s="0" t="s">
        <v>73</v>
      </c>
      <c r="D329" s="0" t="s">
        <v>119</v>
      </c>
      <c r="E329" s="0" t="s">
        <v>50</v>
      </c>
      <c r="F329" s="3" t="n">
        <v>450</v>
      </c>
      <c r="G329" s="3" t="n">
        <v>580</v>
      </c>
    </row>
    <row r="330" customFormat="false" ht="15" hidden="false" customHeight="false" outlineLevel="0" collapsed="false">
      <c r="A330" s="0" t="s">
        <v>665</v>
      </c>
      <c r="B330" s="0" t="s">
        <v>666</v>
      </c>
      <c r="C330" s="0" t="s">
        <v>23</v>
      </c>
      <c r="D330" s="0" t="s">
        <v>60</v>
      </c>
      <c r="E330" s="0" t="s">
        <v>25</v>
      </c>
      <c r="F330" s="3" t="n">
        <v>860</v>
      </c>
      <c r="G330" s="3" t="n">
        <v>1140</v>
      </c>
    </row>
    <row r="331" customFormat="false" ht="15" hidden="false" customHeight="false" outlineLevel="0" collapsed="false">
      <c r="A331" s="0" t="s">
        <v>667</v>
      </c>
      <c r="B331" s="0" t="s">
        <v>668</v>
      </c>
      <c r="C331" s="0" t="s">
        <v>10</v>
      </c>
      <c r="D331" s="0" t="s">
        <v>11</v>
      </c>
      <c r="E331" s="0" t="s">
        <v>12</v>
      </c>
      <c r="F331" s="3" t="n">
        <v>1440</v>
      </c>
      <c r="G331" s="3" t="n">
        <v>2050</v>
      </c>
    </row>
    <row r="332" customFormat="false" ht="15" hidden="false" customHeight="false" outlineLevel="0" collapsed="false">
      <c r="A332" s="0" t="s">
        <v>669</v>
      </c>
      <c r="B332" s="0" t="s">
        <v>670</v>
      </c>
      <c r="C332" s="0" t="s">
        <v>23</v>
      </c>
      <c r="D332" s="0" t="s">
        <v>49</v>
      </c>
      <c r="E332" s="0" t="s">
        <v>25</v>
      </c>
      <c r="F332" s="3" t="n">
        <v>1810</v>
      </c>
      <c r="G332" s="3" t="n">
        <v>2370</v>
      </c>
    </row>
    <row r="333" customFormat="false" ht="15" hidden="false" customHeight="false" outlineLevel="0" collapsed="false">
      <c r="A333" s="0" t="s">
        <v>671</v>
      </c>
      <c r="B333" s="0" t="s">
        <v>672</v>
      </c>
      <c r="C333" s="0" t="s">
        <v>15</v>
      </c>
      <c r="D333" s="0" t="s">
        <v>135</v>
      </c>
      <c r="E333" s="0" t="s">
        <v>50</v>
      </c>
      <c r="F333" s="3" t="n">
        <v>1660</v>
      </c>
      <c r="G333" s="3" t="n">
        <v>2240</v>
      </c>
    </row>
    <row r="334" customFormat="false" ht="15" hidden="false" customHeight="false" outlineLevel="0" collapsed="false">
      <c r="A334" s="0" t="s">
        <v>673</v>
      </c>
      <c r="B334" s="0" t="s">
        <v>501</v>
      </c>
      <c r="C334" s="0" t="s">
        <v>39</v>
      </c>
      <c r="D334" s="0" t="s">
        <v>502</v>
      </c>
      <c r="E334" s="0" t="s">
        <v>12</v>
      </c>
      <c r="F334" s="3" t="n">
        <v>610</v>
      </c>
      <c r="G334" s="3" t="n">
        <v>840</v>
      </c>
    </row>
    <row r="335" customFormat="false" ht="15" hidden="false" customHeight="false" outlineLevel="0" collapsed="false">
      <c r="A335" s="0" t="s">
        <v>674</v>
      </c>
      <c r="B335" s="0" t="s">
        <v>675</v>
      </c>
      <c r="C335" s="0" t="s">
        <v>10</v>
      </c>
      <c r="D335" s="0" t="s">
        <v>11</v>
      </c>
      <c r="E335" s="0" t="s">
        <v>12</v>
      </c>
      <c r="F335" s="3" t="n">
        <v>530</v>
      </c>
      <c r="G335" s="3" t="n">
        <v>710</v>
      </c>
    </row>
    <row r="336" customFormat="false" ht="15" hidden="false" customHeight="false" outlineLevel="0" collapsed="false">
      <c r="A336" s="0" t="s">
        <v>676</v>
      </c>
      <c r="B336" s="0" t="s">
        <v>236</v>
      </c>
      <c r="C336" s="0" t="s">
        <v>28</v>
      </c>
      <c r="D336" s="0" t="s">
        <v>63</v>
      </c>
      <c r="E336" s="0" t="s">
        <v>25</v>
      </c>
      <c r="F336" s="3" t="n">
        <v>1520</v>
      </c>
      <c r="G336" s="3" t="n">
        <v>2200</v>
      </c>
    </row>
    <row r="337" customFormat="false" ht="15" hidden="false" customHeight="false" outlineLevel="0" collapsed="false">
      <c r="A337" s="0" t="s">
        <v>677</v>
      </c>
      <c r="B337" s="0" t="s">
        <v>678</v>
      </c>
      <c r="C337" s="0" t="s">
        <v>23</v>
      </c>
      <c r="D337" s="0" t="s">
        <v>94</v>
      </c>
      <c r="E337" s="0" t="s">
        <v>12</v>
      </c>
      <c r="F337" s="3" t="n">
        <v>540</v>
      </c>
      <c r="G337" s="3" t="n">
        <v>780</v>
      </c>
    </row>
    <row r="338" customFormat="false" ht="15" hidden="false" customHeight="false" outlineLevel="0" collapsed="false">
      <c r="A338" s="0" t="s">
        <v>679</v>
      </c>
      <c r="B338" s="0" t="s">
        <v>680</v>
      </c>
      <c r="C338" s="0" t="s">
        <v>10</v>
      </c>
      <c r="D338" s="0" t="s">
        <v>231</v>
      </c>
      <c r="E338" s="0" t="s">
        <v>12</v>
      </c>
      <c r="F338" s="3" t="n">
        <v>1970</v>
      </c>
      <c r="G338" s="3" t="n">
        <v>2750</v>
      </c>
    </row>
    <row r="339" customFormat="false" ht="15" hidden="false" customHeight="false" outlineLevel="0" collapsed="false">
      <c r="A339" s="0" t="s">
        <v>681</v>
      </c>
      <c r="B339" s="0" t="s">
        <v>682</v>
      </c>
      <c r="C339" s="0" t="s">
        <v>66</v>
      </c>
      <c r="D339" s="0" t="s">
        <v>97</v>
      </c>
      <c r="E339" s="0" t="s">
        <v>25</v>
      </c>
      <c r="F339" s="3" t="n">
        <v>1000</v>
      </c>
      <c r="G339" s="3" t="n">
        <v>1230</v>
      </c>
    </row>
    <row r="340" customFormat="false" ht="15" hidden="false" customHeight="false" outlineLevel="0" collapsed="false">
      <c r="A340" s="0" t="s">
        <v>683</v>
      </c>
      <c r="B340" s="0" t="s">
        <v>600</v>
      </c>
      <c r="C340" s="0" t="s">
        <v>23</v>
      </c>
      <c r="D340" s="0" t="s">
        <v>24</v>
      </c>
      <c r="E340" s="0" t="s">
        <v>12</v>
      </c>
      <c r="F340" s="3" t="n">
        <v>650</v>
      </c>
      <c r="G340" s="3" t="n">
        <v>800</v>
      </c>
    </row>
    <row r="341" customFormat="false" ht="15" hidden="false" customHeight="false" outlineLevel="0" collapsed="false">
      <c r="A341" s="0" t="s">
        <v>684</v>
      </c>
      <c r="B341" s="0" t="s">
        <v>685</v>
      </c>
      <c r="C341" s="0" t="s">
        <v>23</v>
      </c>
      <c r="D341" s="0" t="s">
        <v>94</v>
      </c>
      <c r="E341" s="0" t="s">
        <v>12</v>
      </c>
      <c r="F341" s="3" t="n">
        <v>2240</v>
      </c>
      <c r="G341" s="3" t="n">
        <v>2840</v>
      </c>
    </row>
    <row r="342" customFormat="false" ht="15" hidden="false" customHeight="false" outlineLevel="0" collapsed="false">
      <c r="A342" s="0" t="s">
        <v>686</v>
      </c>
      <c r="B342" s="0" t="s">
        <v>687</v>
      </c>
      <c r="C342" s="0" t="s">
        <v>10</v>
      </c>
      <c r="D342" s="0" t="s">
        <v>206</v>
      </c>
      <c r="E342" s="0" t="s">
        <v>25</v>
      </c>
      <c r="F342" s="3" t="n">
        <v>2480</v>
      </c>
      <c r="G342" s="3" t="n">
        <v>3490</v>
      </c>
    </row>
    <row r="343" customFormat="false" ht="15" hidden="false" customHeight="false" outlineLevel="0" collapsed="false">
      <c r="A343" s="0" t="s">
        <v>688</v>
      </c>
      <c r="B343" s="0" t="s">
        <v>689</v>
      </c>
      <c r="C343" s="0" t="s">
        <v>53</v>
      </c>
      <c r="D343" s="0" t="s">
        <v>24</v>
      </c>
      <c r="E343" s="0" t="s">
        <v>12</v>
      </c>
      <c r="F343" s="3" t="n">
        <v>8010</v>
      </c>
      <c r="G343" s="3" t="n">
        <v>9740</v>
      </c>
    </row>
    <row r="344" customFormat="false" ht="15" hidden="false" customHeight="false" outlineLevel="0" collapsed="false">
      <c r="A344" s="0" t="s">
        <v>690</v>
      </c>
      <c r="B344" s="0" t="s">
        <v>691</v>
      </c>
      <c r="C344" s="0" t="s">
        <v>66</v>
      </c>
      <c r="D344" s="0" t="s">
        <v>197</v>
      </c>
      <c r="E344" s="0" t="s">
        <v>12</v>
      </c>
      <c r="F344" s="3" t="n">
        <v>590</v>
      </c>
      <c r="G344" s="3" t="n">
        <v>790</v>
      </c>
    </row>
    <row r="345" customFormat="false" ht="15" hidden="false" customHeight="false" outlineLevel="0" collapsed="false">
      <c r="A345" s="0" t="s">
        <v>692</v>
      </c>
      <c r="B345" s="0" t="s">
        <v>693</v>
      </c>
      <c r="C345" s="0" t="s">
        <v>53</v>
      </c>
      <c r="D345" s="0" t="s">
        <v>107</v>
      </c>
      <c r="E345" s="0" t="s">
        <v>12</v>
      </c>
      <c r="F345" s="3" t="n">
        <v>2460</v>
      </c>
      <c r="G345" s="3" t="n">
        <v>3360</v>
      </c>
    </row>
    <row r="346" customFormat="false" ht="15" hidden="false" customHeight="false" outlineLevel="0" collapsed="false">
      <c r="A346" s="0" t="s">
        <v>694</v>
      </c>
      <c r="B346" s="0" t="s">
        <v>695</v>
      </c>
      <c r="C346" s="0" t="s">
        <v>53</v>
      </c>
      <c r="D346" s="0" t="s">
        <v>107</v>
      </c>
      <c r="E346" s="0" t="s">
        <v>12</v>
      </c>
      <c r="F346" s="3" t="n">
        <v>17290</v>
      </c>
      <c r="G346" s="3" t="n">
        <v>24910</v>
      </c>
    </row>
    <row r="347" customFormat="false" ht="15" hidden="false" customHeight="false" outlineLevel="0" collapsed="false">
      <c r="A347" s="0" t="s">
        <v>696</v>
      </c>
      <c r="B347" s="0" t="s">
        <v>697</v>
      </c>
      <c r="C347" s="0" t="s">
        <v>39</v>
      </c>
      <c r="D347" s="0" t="s">
        <v>162</v>
      </c>
      <c r="E347" s="0" t="s">
        <v>12</v>
      </c>
      <c r="F347" s="3" t="n">
        <v>430</v>
      </c>
      <c r="G347" s="3" t="n">
        <v>620</v>
      </c>
    </row>
    <row r="348" customFormat="false" ht="15" hidden="false" customHeight="false" outlineLevel="0" collapsed="false">
      <c r="A348" s="0" t="s">
        <v>698</v>
      </c>
      <c r="B348" s="0" t="s">
        <v>699</v>
      </c>
      <c r="C348" s="0" t="s">
        <v>28</v>
      </c>
      <c r="D348" s="0" t="s">
        <v>63</v>
      </c>
      <c r="E348" s="0" t="s">
        <v>12</v>
      </c>
      <c r="F348" s="3" t="n">
        <v>680</v>
      </c>
      <c r="G348" s="3" t="n">
        <v>920</v>
      </c>
    </row>
    <row r="349" customFormat="false" ht="15" hidden="false" customHeight="false" outlineLevel="0" collapsed="false">
      <c r="A349" s="0" t="s">
        <v>700</v>
      </c>
      <c r="B349" s="0" t="s">
        <v>701</v>
      </c>
      <c r="C349" s="0" t="s">
        <v>53</v>
      </c>
      <c r="D349" s="0" t="s">
        <v>141</v>
      </c>
      <c r="E349" s="0" t="s">
        <v>25</v>
      </c>
      <c r="F349" s="3" t="n">
        <v>13340</v>
      </c>
      <c r="G349" s="3" t="n">
        <v>19230</v>
      </c>
    </row>
    <row r="350" customFormat="false" ht="15" hidden="false" customHeight="false" outlineLevel="0" collapsed="false">
      <c r="A350" s="0" t="s">
        <v>702</v>
      </c>
      <c r="B350" s="0" t="s">
        <v>703</v>
      </c>
      <c r="C350" s="0" t="s">
        <v>28</v>
      </c>
      <c r="D350" s="0" t="s">
        <v>29</v>
      </c>
      <c r="E350" s="0" t="s">
        <v>12</v>
      </c>
      <c r="F350" s="3" t="n">
        <v>1660</v>
      </c>
      <c r="G350" s="3" t="n">
        <v>2310</v>
      </c>
    </row>
    <row r="351" customFormat="false" ht="15" hidden="false" customHeight="false" outlineLevel="0" collapsed="false">
      <c r="A351" s="0" t="s">
        <v>704</v>
      </c>
      <c r="B351" s="0" t="s">
        <v>705</v>
      </c>
      <c r="C351" s="0" t="s">
        <v>73</v>
      </c>
      <c r="D351" s="0" t="s">
        <v>119</v>
      </c>
      <c r="E351" s="0" t="s">
        <v>50</v>
      </c>
      <c r="F351" s="3" t="n">
        <v>390</v>
      </c>
      <c r="G351" s="3" t="n">
        <v>460</v>
      </c>
    </row>
    <row r="352" customFormat="false" ht="15" hidden="false" customHeight="false" outlineLevel="0" collapsed="false">
      <c r="A352" s="0" t="s">
        <v>706</v>
      </c>
      <c r="B352" s="0" t="s">
        <v>276</v>
      </c>
      <c r="C352" s="0" t="s">
        <v>15</v>
      </c>
      <c r="D352" s="0" t="s">
        <v>16</v>
      </c>
      <c r="E352" s="0" t="s">
        <v>25</v>
      </c>
      <c r="F352" s="3" t="n">
        <v>1030</v>
      </c>
      <c r="G352" s="3" t="n">
        <v>1230</v>
      </c>
    </row>
    <row r="353" customFormat="false" ht="15" hidden="false" customHeight="false" outlineLevel="0" collapsed="false">
      <c r="A353" s="0" t="s">
        <v>707</v>
      </c>
      <c r="B353" s="0" t="s">
        <v>708</v>
      </c>
      <c r="C353" s="0" t="s">
        <v>53</v>
      </c>
      <c r="D353" s="0" t="s">
        <v>24</v>
      </c>
      <c r="E353" s="0" t="s">
        <v>12</v>
      </c>
      <c r="F353" s="3" t="n">
        <v>9380</v>
      </c>
      <c r="G353" s="3" t="n">
        <v>12720</v>
      </c>
    </row>
  </sheetData>
  <mergeCells count="1">
    <mergeCell ref="C1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4" activeCellId="1" sqref="H6:I15 G4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C1" s="1" t="s">
        <v>709</v>
      </c>
      <c r="D1" s="1"/>
    </row>
    <row r="2" customFormat="false" ht="15" hidden="false" customHeight="false" outlineLevel="0" collapsed="false">
      <c r="C2" s="1"/>
      <c r="D2" s="1"/>
    </row>
    <row r="3" customFormat="false" ht="15" hidden="false" customHeight="false" outlineLevel="0" collapsed="false">
      <c r="A3" s="2" t="s">
        <v>710</v>
      </c>
      <c r="B3" s="2" t="s">
        <v>711</v>
      </c>
      <c r="C3" s="2" t="s">
        <v>1</v>
      </c>
      <c r="D3" s="2" t="s">
        <v>712</v>
      </c>
      <c r="E3" s="2" t="s">
        <v>713</v>
      </c>
      <c r="F3" s="2" t="s">
        <v>714</v>
      </c>
      <c r="G3" s="2" t="s">
        <v>715</v>
      </c>
    </row>
    <row r="4" customFormat="false" ht="15" hidden="false" customHeight="false" outlineLevel="0" collapsed="false">
      <c r="A4" s="0" t="s">
        <v>716</v>
      </c>
      <c r="B4" s="4" t="n">
        <v>45931</v>
      </c>
      <c r="C4" s="0" t="s">
        <v>37</v>
      </c>
      <c r="D4" s="0" t="n">
        <v>28</v>
      </c>
      <c r="E4" s="0" t="s">
        <v>717</v>
      </c>
      <c r="F4" s="3" t="n">
        <f aca="false">D4*_xlfn.XLOOKUP(C4,Item_Master!A:A,Item_Master!G:G)</f>
        <v>15120</v>
      </c>
      <c r="G4" s="0" t="str">
        <f aca="false">TEXT(B4,"MMM YYYY")</f>
        <v>Oct 2025</v>
      </c>
    </row>
    <row r="5" customFormat="false" ht="15" hidden="false" customHeight="false" outlineLevel="0" collapsed="false">
      <c r="A5" s="0" t="s">
        <v>718</v>
      </c>
      <c r="B5" s="4" t="n">
        <v>45931</v>
      </c>
      <c r="C5" s="0" t="s">
        <v>41</v>
      </c>
      <c r="D5" s="0" t="n">
        <v>8</v>
      </c>
      <c r="E5" s="0" t="s">
        <v>719</v>
      </c>
      <c r="F5" s="3" t="n">
        <f aca="false">D5*_xlfn.XLOOKUP(C5,Item_Master!A:A,Item_Master!G:G)</f>
        <v>8160</v>
      </c>
      <c r="G5" s="0" t="str">
        <f aca="false">TEXT(B5,"MMM YYYY")</f>
        <v>Oct 2025</v>
      </c>
    </row>
    <row r="6" customFormat="false" ht="15" hidden="false" customHeight="false" outlineLevel="0" collapsed="false">
      <c r="A6" s="0" t="s">
        <v>720</v>
      </c>
      <c r="B6" s="4" t="n">
        <v>45931</v>
      </c>
      <c r="C6" s="0" t="s">
        <v>55</v>
      </c>
      <c r="D6" s="0" t="n">
        <v>2</v>
      </c>
      <c r="E6" s="0" t="s">
        <v>721</v>
      </c>
      <c r="F6" s="3" t="n">
        <f aca="false">D6*_xlfn.XLOOKUP(C6,Item_Master!A:A,Item_Master!G:G)</f>
        <v>5840</v>
      </c>
      <c r="G6" s="0" t="str">
        <f aca="false">TEXT(B6,"MMM YYYY")</f>
        <v>Oct 2025</v>
      </c>
    </row>
    <row r="7" customFormat="false" ht="15" hidden="false" customHeight="false" outlineLevel="0" collapsed="false">
      <c r="A7" s="0" t="s">
        <v>722</v>
      </c>
      <c r="B7" s="4" t="n">
        <v>45931</v>
      </c>
      <c r="C7" s="0" t="s">
        <v>64</v>
      </c>
      <c r="D7" s="0" t="n">
        <v>1</v>
      </c>
      <c r="E7" s="0" t="s">
        <v>723</v>
      </c>
      <c r="F7" s="3" t="n">
        <f aca="false">D7*_xlfn.XLOOKUP(C7,Item_Master!A:A,Item_Master!G:G)</f>
        <v>1540</v>
      </c>
      <c r="G7" s="0" t="str">
        <f aca="false">TEXT(B7,"MMM YYYY")</f>
        <v>Oct 2025</v>
      </c>
    </row>
    <row r="8" customFormat="false" ht="15" hidden="false" customHeight="false" outlineLevel="0" collapsed="false">
      <c r="A8" s="0" t="s">
        <v>724</v>
      </c>
      <c r="B8" s="4" t="n">
        <v>45931</v>
      </c>
      <c r="C8" s="0" t="s">
        <v>204</v>
      </c>
      <c r="D8" s="0" t="n">
        <v>27</v>
      </c>
      <c r="E8" s="0" t="s">
        <v>725</v>
      </c>
      <c r="F8" s="3" t="n">
        <f aca="false">D8*_xlfn.XLOOKUP(C8,Item_Master!A:A,Item_Master!G:G)</f>
        <v>38070</v>
      </c>
      <c r="G8" s="0" t="str">
        <f aca="false">TEXT(B8,"MMM YYYY")</f>
        <v>Oct 2025</v>
      </c>
    </row>
    <row r="9" customFormat="false" ht="15" hidden="false" customHeight="false" outlineLevel="0" collapsed="false">
      <c r="A9" s="0" t="s">
        <v>726</v>
      </c>
      <c r="B9" s="4" t="n">
        <v>45931</v>
      </c>
      <c r="C9" s="0" t="s">
        <v>223</v>
      </c>
      <c r="D9" s="0" t="n">
        <v>8</v>
      </c>
      <c r="E9" s="0" t="s">
        <v>727</v>
      </c>
      <c r="F9" s="3" t="n">
        <f aca="false">D9*_xlfn.XLOOKUP(C9,Item_Master!A:A,Item_Master!G:G)</f>
        <v>2080</v>
      </c>
      <c r="G9" s="0" t="str">
        <f aca="false">TEXT(B9,"MMM YYYY")</f>
        <v>Oct 2025</v>
      </c>
    </row>
    <row r="10" customFormat="false" ht="15" hidden="false" customHeight="false" outlineLevel="0" collapsed="false">
      <c r="A10" s="0" t="s">
        <v>728</v>
      </c>
      <c r="B10" s="4" t="n">
        <v>45931</v>
      </c>
      <c r="C10" s="0" t="s">
        <v>553</v>
      </c>
      <c r="D10" s="0" t="n">
        <v>13</v>
      </c>
      <c r="E10" s="0" t="s">
        <v>729</v>
      </c>
      <c r="F10" s="3" t="n">
        <f aca="false">D10*_xlfn.XLOOKUP(C10,Item_Master!A:A,Item_Master!G:G)</f>
        <v>74750</v>
      </c>
      <c r="G10" s="0" t="str">
        <f aca="false">TEXT(B10,"MMM YYYY")</f>
        <v>Oct 2025</v>
      </c>
    </row>
    <row r="11" customFormat="false" ht="15" hidden="false" customHeight="false" outlineLevel="0" collapsed="false">
      <c r="A11" s="0" t="s">
        <v>730</v>
      </c>
      <c r="B11" s="4" t="n">
        <v>45931</v>
      </c>
      <c r="C11" s="0" t="s">
        <v>653</v>
      </c>
      <c r="D11" s="0" t="n">
        <v>15</v>
      </c>
      <c r="E11" s="0" t="s">
        <v>731</v>
      </c>
      <c r="F11" s="3" t="n">
        <f aca="false">D11*_xlfn.XLOOKUP(C11,Item_Master!A:A,Item_Master!G:G)</f>
        <v>26100</v>
      </c>
      <c r="G11" s="0" t="str">
        <f aca="false">TEXT(B11,"MMM YYYY")</f>
        <v>Oct 2025</v>
      </c>
    </row>
    <row r="12" customFormat="false" ht="15" hidden="false" customHeight="false" outlineLevel="0" collapsed="false">
      <c r="A12" s="0" t="s">
        <v>732</v>
      </c>
      <c r="B12" s="4" t="n">
        <v>45932</v>
      </c>
      <c r="C12" s="0" t="s">
        <v>123</v>
      </c>
      <c r="D12" s="0" t="n">
        <v>2</v>
      </c>
      <c r="E12" s="0" t="s">
        <v>733</v>
      </c>
      <c r="F12" s="3" t="n">
        <f aca="false">D12*_xlfn.XLOOKUP(C12,Item_Master!A:A,Item_Master!G:G)</f>
        <v>29420</v>
      </c>
      <c r="G12" s="0" t="str">
        <f aca="false">TEXT(B12,"MMM YYYY")</f>
        <v>Oct 2025</v>
      </c>
    </row>
    <row r="13" customFormat="false" ht="15" hidden="false" customHeight="false" outlineLevel="0" collapsed="false">
      <c r="A13" s="0" t="s">
        <v>734</v>
      </c>
      <c r="B13" s="4" t="n">
        <v>45932</v>
      </c>
      <c r="C13" s="0" t="s">
        <v>154</v>
      </c>
      <c r="D13" s="0" t="n">
        <v>2</v>
      </c>
      <c r="E13" s="0" t="s">
        <v>735</v>
      </c>
      <c r="F13" s="3" t="n">
        <f aca="false">D13*_xlfn.XLOOKUP(C13,Item_Master!A:A,Item_Master!G:G)</f>
        <v>360</v>
      </c>
      <c r="G13" s="0" t="str">
        <f aca="false">TEXT(B13,"MMM YYYY")</f>
        <v>Oct 2025</v>
      </c>
    </row>
    <row r="14" customFormat="false" ht="15" hidden="false" customHeight="false" outlineLevel="0" collapsed="false">
      <c r="A14" s="0" t="s">
        <v>736</v>
      </c>
      <c r="B14" s="4" t="n">
        <v>45932</v>
      </c>
      <c r="C14" s="0" t="s">
        <v>156</v>
      </c>
      <c r="D14" s="0" t="n">
        <v>38</v>
      </c>
      <c r="E14" s="0" t="s">
        <v>737</v>
      </c>
      <c r="F14" s="3" t="n">
        <f aca="false">D14*_xlfn.XLOOKUP(C14,Item_Master!A:A,Item_Master!G:G)</f>
        <v>114000</v>
      </c>
      <c r="G14" s="0" t="str">
        <f aca="false">TEXT(B14,"MMM YYYY")</f>
        <v>Oct 2025</v>
      </c>
    </row>
    <row r="15" customFormat="false" ht="15" hidden="false" customHeight="false" outlineLevel="0" collapsed="false">
      <c r="A15" s="0" t="s">
        <v>738</v>
      </c>
      <c r="B15" s="4" t="n">
        <v>45932</v>
      </c>
      <c r="C15" s="0" t="s">
        <v>306</v>
      </c>
      <c r="D15" s="0" t="n">
        <v>8</v>
      </c>
      <c r="E15" s="0" t="s">
        <v>739</v>
      </c>
      <c r="F15" s="3" t="n">
        <f aca="false">D15*_xlfn.XLOOKUP(C15,Item_Master!A:A,Item_Master!G:G)</f>
        <v>8160</v>
      </c>
      <c r="G15" s="0" t="str">
        <f aca="false">TEXT(B15,"MMM YYYY")</f>
        <v>Oct 2025</v>
      </c>
    </row>
    <row r="16" customFormat="false" ht="15" hidden="false" customHeight="false" outlineLevel="0" collapsed="false">
      <c r="A16" s="0" t="s">
        <v>740</v>
      </c>
      <c r="B16" s="4" t="n">
        <v>45932</v>
      </c>
      <c r="C16" s="0" t="s">
        <v>314</v>
      </c>
      <c r="D16" s="0" t="n">
        <v>11</v>
      </c>
      <c r="E16" s="0" t="s">
        <v>741</v>
      </c>
      <c r="F16" s="3" t="n">
        <f aca="false">D16*_xlfn.XLOOKUP(C16,Item_Master!A:A,Item_Master!G:G)</f>
        <v>37730</v>
      </c>
      <c r="G16" s="0" t="str">
        <f aca="false">TEXT(B16,"MMM YYYY")</f>
        <v>Oct 2025</v>
      </c>
    </row>
    <row r="17" customFormat="false" ht="15" hidden="false" customHeight="false" outlineLevel="0" collapsed="false">
      <c r="A17" s="0" t="s">
        <v>742</v>
      </c>
      <c r="B17" s="4" t="n">
        <v>45932</v>
      </c>
      <c r="C17" s="0" t="s">
        <v>398</v>
      </c>
      <c r="D17" s="0" t="n">
        <v>19</v>
      </c>
      <c r="E17" s="0" t="s">
        <v>743</v>
      </c>
      <c r="F17" s="3" t="n">
        <f aca="false">D17*_xlfn.XLOOKUP(C17,Item_Master!A:A,Item_Master!G:G)</f>
        <v>5890</v>
      </c>
      <c r="G17" s="0" t="str">
        <f aca="false">TEXT(B17,"MMM YYYY")</f>
        <v>Oct 2025</v>
      </c>
    </row>
    <row r="18" customFormat="false" ht="15" hidden="false" customHeight="false" outlineLevel="0" collapsed="false">
      <c r="A18" s="0" t="s">
        <v>744</v>
      </c>
      <c r="B18" s="4" t="n">
        <v>45932</v>
      </c>
      <c r="C18" s="0" t="s">
        <v>440</v>
      </c>
      <c r="D18" s="0" t="n">
        <v>1</v>
      </c>
      <c r="E18" s="0" t="s">
        <v>745</v>
      </c>
      <c r="F18" s="3" t="n">
        <f aca="false">D18*_xlfn.XLOOKUP(C18,Item_Master!A:A,Item_Master!G:G)</f>
        <v>1270</v>
      </c>
      <c r="G18" s="0" t="str">
        <f aca="false">TEXT(B18,"MMM YYYY")</f>
        <v>Oct 2025</v>
      </c>
    </row>
    <row r="19" customFormat="false" ht="15" hidden="false" customHeight="false" outlineLevel="0" collapsed="false">
      <c r="A19" s="0" t="s">
        <v>746</v>
      </c>
      <c r="B19" s="4" t="n">
        <v>45932</v>
      </c>
      <c r="C19" s="0" t="s">
        <v>476</v>
      </c>
      <c r="D19" s="0" t="n">
        <v>6</v>
      </c>
      <c r="E19" s="0" t="s">
        <v>747</v>
      </c>
      <c r="F19" s="3" t="n">
        <f aca="false">D19*_xlfn.XLOOKUP(C19,Item_Master!A:A,Item_Master!G:G)</f>
        <v>3660</v>
      </c>
      <c r="G19" s="0" t="str">
        <f aca="false">TEXT(B19,"MMM YYYY")</f>
        <v>Oct 2025</v>
      </c>
    </row>
    <row r="20" customFormat="false" ht="15" hidden="false" customHeight="false" outlineLevel="0" collapsed="false">
      <c r="A20" s="0" t="s">
        <v>748</v>
      </c>
      <c r="B20" s="4" t="n">
        <v>45932</v>
      </c>
      <c r="C20" s="0" t="s">
        <v>478</v>
      </c>
      <c r="D20" s="0" t="n">
        <v>11</v>
      </c>
      <c r="E20" s="0" t="s">
        <v>749</v>
      </c>
      <c r="F20" s="3" t="n">
        <f aca="false">D20*_xlfn.XLOOKUP(C20,Item_Master!A:A,Item_Master!G:G)</f>
        <v>22330</v>
      </c>
      <c r="G20" s="0" t="str">
        <f aca="false">TEXT(B20,"MMM YYYY")</f>
        <v>Oct 2025</v>
      </c>
    </row>
    <row r="21" customFormat="false" ht="15" hidden="false" customHeight="false" outlineLevel="0" collapsed="false">
      <c r="A21" s="0" t="s">
        <v>750</v>
      </c>
      <c r="B21" s="4" t="n">
        <v>45932</v>
      </c>
      <c r="C21" s="0" t="s">
        <v>500</v>
      </c>
      <c r="D21" s="0" t="n">
        <v>3</v>
      </c>
      <c r="E21" s="0" t="s">
        <v>751</v>
      </c>
      <c r="F21" s="3" t="n">
        <f aca="false">D21*_xlfn.XLOOKUP(C21,Item_Master!A:A,Item_Master!G:G)</f>
        <v>2070</v>
      </c>
      <c r="G21" s="0" t="str">
        <f aca="false">TEXT(B21,"MMM YYYY")</f>
        <v>Oct 2025</v>
      </c>
    </row>
    <row r="22" customFormat="false" ht="15" hidden="false" customHeight="false" outlineLevel="0" collapsed="false">
      <c r="A22" s="0" t="s">
        <v>752</v>
      </c>
      <c r="B22" s="4" t="n">
        <v>45933</v>
      </c>
      <c r="C22" s="0" t="s">
        <v>71</v>
      </c>
      <c r="D22" s="0" t="n">
        <v>3</v>
      </c>
      <c r="E22" s="0" t="s">
        <v>753</v>
      </c>
      <c r="F22" s="3" t="n">
        <f aca="false">D22*_xlfn.XLOOKUP(C22,Item_Master!A:A,Item_Master!G:G)</f>
        <v>1410</v>
      </c>
      <c r="G22" s="0" t="str">
        <f aca="false">TEXT(B22,"MMM YYYY")</f>
        <v>Oct 2025</v>
      </c>
    </row>
    <row r="23" customFormat="false" ht="15" hidden="false" customHeight="false" outlineLevel="0" collapsed="false">
      <c r="A23" s="0" t="s">
        <v>754</v>
      </c>
      <c r="B23" s="4" t="n">
        <v>45933</v>
      </c>
      <c r="C23" s="0" t="s">
        <v>75</v>
      </c>
      <c r="D23" s="0" t="n">
        <v>4</v>
      </c>
      <c r="E23" s="0" t="s">
        <v>755</v>
      </c>
      <c r="F23" s="3" t="n">
        <f aca="false">D23*_xlfn.XLOOKUP(C23,Item_Master!A:A,Item_Master!G:G)</f>
        <v>9360</v>
      </c>
      <c r="G23" s="0" t="str">
        <f aca="false">TEXT(B23,"MMM YYYY")</f>
        <v>Oct 2025</v>
      </c>
    </row>
    <row r="24" customFormat="false" ht="15" hidden="false" customHeight="false" outlineLevel="0" collapsed="false">
      <c r="A24" s="0" t="s">
        <v>756</v>
      </c>
      <c r="B24" s="4" t="n">
        <v>45933</v>
      </c>
      <c r="C24" s="0" t="s">
        <v>310</v>
      </c>
      <c r="D24" s="0" t="n">
        <v>17</v>
      </c>
      <c r="E24" s="0" t="s">
        <v>757</v>
      </c>
      <c r="F24" s="3" t="n">
        <f aca="false">D24*_xlfn.XLOOKUP(C24,Item_Master!A:A,Item_Master!G:G)</f>
        <v>10370</v>
      </c>
      <c r="G24" s="0" t="str">
        <f aca="false">TEXT(B24,"MMM YYYY")</f>
        <v>Oct 2025</v>
      </c>
    </row>
    <row r="25" customFormat="false" ht="15" hidden="false" customHeight="false" outlineLevel="0" collapsed="false">
      <c r="A25" s="0" t="s">
        <v>758</v>
      </c>
      <c r="B25" s="4" t="n">
        <v>45933</v>
      </c>
      <c r="C25" s="0" t="s">
        <v>399</v>
      </c>
      <c r="D25" s="0" t="n">
        <v>24</v>
      </c>
      <c r="E25" s="0" t="s">
        <v>759</v>
      </c>
      <c r="F25" s="3" t="n">
        <f aca="false">D25*_xlfn.XLOOKUP(C25,Item_Master!A:A,Item_Master!G:G)</f>
        <v>290640</v>
      </c>
      <c r="G25" s="0" t="str">
        <f aca="false">TEXT(B25,"MMM YYYY")</f>
        <v>Oct 2025</v>
      </c>
    </row>
    <row r="26" customFormat="false" ht="15" hidden="false" customHeight="false" outlineLevel="0" collapsed="false">
      <c r="A26" s="0" t="s">
        <v>760</v>
      </c>
      <c r="B26" s="4" t="n">
        <v>45933</v>
      </c>
      <c r="C26" s="0" t="s">
        <v>411</v>
      </c>
      <c r="D26" s="0" t="n">
        <v>1</v>
      </c>
      <c r="E26" s="0" t="s">
        <v>761</v>
      </c>
      <c r="F26" s="3" t="n">
        <f aca="false">D26*_xlfn.XLOOKUP(C26,Item_Master!A:A,Item_Master!G:G)</f>
        <v>13690</v>
      </c>
      <c r="G26" s="0" t="str">
        <f aca="false">TEXT(B26,"MMM YYYY")</f>
        <v>Oct 2025</v>
      </c>
    </row>
    <row r="27" customFormat="false" ht="15" hidden="false" customHeight="false" outlineLevel="0" collapsed="false">
      <c r="A27" s="0" t="s">
        <v>762</v>
      </c>
      <c r="B27" s="4" t="n">
        <v>45933</v>
      </c>
      <c r="C27" s="0" t="s">
        <v>426</v>
      </c>
      <c r="D27" s="0" t="n">
        <v>26</v>
      </c>
      <c r="E27" s="0" t="s">
        <v>763</v>
      </c>
      <c r="F27" s="3" t="n">
        <f aca="false">D27*_xlfn.XLOOKUP(C27,Item_Master!A:A,Item_Master!G:G)</f>
        <v>69420</v>
      </c>
      <c r="G27" s="0" t="str">
        <f aca="false">TEXT(B27,"MMM YYYY")</f>
        <v>Oct 2025</v>
      </c>
    </row>
    <row r="28" customFormat="false" ht="15" hidden="false" customHeight="false" outlineLevel="0" collapsed="false">
      <c r="A28" s="0" t="s">
        <v>764</v>
      </c>
      <c r="B28" s="4" t="n">
        <v>45933</v>
      </c>
      <c r="C28" s="0" t="s">
        <v>443</v>
      </c>
      <c r="D28" s="0" t="n">
        <v>37</v>
      </c>
      <c r="E28" s="0" t="s">
        <v>765</v>
      </c>
      <c r="F28" s="3" t="n">
        <f aca="false">D28*_xlfn.XLOOKUP(C28,Item_Master!A:A,Item_Master!G:G)</f>
        <v>62160</v>
      </c>
      <c r="G28" s="0" t="str">
        <f aca="false">TEXT(B28,"MMM YYYY")</f>
        <v>Oct 2025</v>
      </c>
    </row>
    <row r="29" customFormat="false" ht="15" hidden="false" customHeight="false" outlineLevel="0" collapsed="false">
      <c r="A29" s="0" t="s">
        <v>766</v>
      </c>
      <c r="B29" s="4" t="n">
        <v>45933</v>
      </c>
      <c r="C29" s="0" t="s">
        <v>450</v>
      </c>
      <c r="D29" s="0" t="n">
        <v>2</v>
      </c>
      <c r="E29" s="0" t="s">
        <v>767</v>
      </c>
      <c r="F29" s="3" t="n">
        <f aca="false">D29*_xlfn.XLOOKUP(C29,Item_Master!A:A,Item_Master!G:G)</f>
        <v>1700</v>
      </c>
      <c r="G29" s="0" t="str">
        <f aca="false">TEXT(B29,"MMM YYYY")</f>
        <v>Oct 2025</v>
      </c>
    </row>
    <row r="30" customFormat="false" ht="15" hidden="false" customHeight="false" outlineLevel="0" collapsed="false">
      <c r="A30" s="0" t="s">
        <v>768</v>
      </c>
      <c r="B30" s="4" t="n">
        <v>45933</v>
      </c>
      <c r="C30" s="0" t="s">
        <v>455</v>
      </c>
      <c r="D30" s="0" t="n">
        <v>18</v>
      </c>
      <c r="E30" s="0" t="s">
        <v>769</v>
      </c>
      <c r="F30" s="3" t="n">
        <f aca="false">D30*_xlfn.XLOOKUP(C30,Item_Master!A:A,Item_Master!G:G)</f>
        <v>2160</v>
      </c>
      <c r="G30" s="0" t="str">
        <f aca="false">TEXT(B30,"MMM YYYY")</f>
        <v>Oct 2025</v>
      </c>
    </row>
    <row r="31" customFormat="false" ht="15" hidden="false" customHeight="false" outlineLevel="0" collapsed="false">
      <c r="A31" s="0" t="s">
        <v>770</v>
      </c>
      <c r="B31" s="4" t="n">
        <v>45934</v>
      </c>
      <c r="C31" s="0" t="s">
        <v>21</v>
      </c>
      <c r="D31" s="0" t="n">
        <v>17</v>
      </c>
      <c r="E31" s="0" t="s">
        <v>771</v>
      </c>
      <c r="F31" s="3" t="n">
        <f aca="false">D31*_xlfn.XLOOKUP(C31,Item_Master!A:A,Item_Master!G:G)</f>
        <v>22610</v>
      </c>
      <c r="G31" s="0" t="str">
        <f aca="false">TEXT(B31,"MMM YYYY")</f>
        <v>Oct 2025</v>
      </c>
    </row>
    <row r="32" customFormat="false" ht="15" hidden="false" customHeight="false" outlineLevel="0" collapsed="false">
      <c r="A32" s="0" t="s">
        <v>772</v>
      </c>
      <c r="B32" s="4" t="n">
        <v>45934</v>
      </c>
      <c r="C32" s="0" t="s">
        <v>30</v>
      </c>
      <c r="D32" s="0" t="n">
        <v>34</v>
      </c>
      <c r="E32" s="0" t="s">
        <v>773</v>
      </c>
      <c r="F32" s="3" t="n">
        <f aca="false">D32*_xlfn.XLOOKUP(C32,Item_Master!A:A,Item_Master!G:G)</f>
        <v>61540</v>
      </c>
      <c r="G32" s="0" t="str">
        <f aca="false">TEXT(B32,"MMM YYYY")</f>
        <v>Oct 2025</v>
      </c>
    </row>
    <row r="33" customFormat="false" ht="15" hidden="false" customHeight="false" outlineLevel="0" collapsed="false">
      <c r="A33" s="0" t="s">
        <v>774</v>
      </c>
      <c r="B33" s="4" t="n">
        <v>45934</v>
      </c>
      <c r="C33" s="0" t="s">
        <v>133</v>
      </c>
      <c r="D33" s="0" t="n">
        <v>5</v>
      </c>
      <c r="E33" s="0" t="s">
        <v>775</v>
      </c>
      <c r="F33" s="3" t="n">
        <f aca="false">D33*_xlfn.XLOOKUP(C33,Item_Master!A:A,Item_Master!G:G)</f>
        <v>6200</v>
      </c>
      <c r="G33" s="0" t="str">
        <f aca="false">TEXT(B33,"MMM YYYY")</f>
        <v>Oct 2025</v>
      </c>
    </row>
    <row r="34" customFormat="false" ht="15" hidden="false" customHeight="false" outlineLevel="0" collapsed="false">
      <c r="A34" s="0" t="s">
        <v>776</v>
      </c>
      <c r="B34" s="4" t="n">
        <v>45934</v>
      </c>
      <c r="C34" s="0" t="s">
        <v>144</v>
      </c>
      <c r="D34" s="0" t="n">
        <v>19</v>
      </c>
      <c r="E34" s="0" t="s">
        <v>777</v>
      </c>
      <c r="F34" s="3" t="n">
        <f aca="false">D34*_xlfn.XLOOKUP(C34,Item_Master!A:A,Item_Master!G:G)</f>
        <v>17670</v>
      </c>
      <c r="G34" s="0" t="str">
        <f aca="false">TEXT(B34,"MMM YYYY")</f>
        <v>Oct 2025</v>
      </c>
    </row>
    <row r="35" customFormat="false" ht="15" hidden="false" customHeight="false" outlineLevel="0" collapsed="false">
      <c r="A35" s="0" t="s">
        <v>778</v>
      </c>
      <c r="B35" s="4" t="n">
        <v>45934</v>
      </c>
      <c r="C35" s="0" t="s">
        <v>148</v>
      </c>
      <c r="D35" s="0" t="n">
        <v>37</v>
      </c>
      <c r="E35" s="0" t="s">
        <v>779</v>
      </c>
      <c r="F35" s="3" t="n">
        <f aca="false">D35*_xlfn.XLOOKUP(C35,Item_Master!A:A,Item_Master!G:G)</f>
        <v>15910</v>
      </c>
      <c r="G35" s="0" t="str">
        <f aca="false">TEXT(B35,"MMM YYYY")</f>
        <v>Oct 2025</v>
      </c>
    </row>
    <row r="36" customFormat="false" ht="15" hidden="false" customHeight="false" outlineLevel="0" collapsed="false">
      <c r="A36" s="0" t="s">
        <v>780</v>
      </c>
      <c r="B36" s="4" t="n">
        <v>45934</v>
      </c>
      <c r="C36" s="0" t="s">
        <v>235</v>
      </c>
      <c r="D36" s="0" t="n">
        <v>40</v>
      </c>
      <c r="E36" s="0" t="s">
        <v>781</v>
      </c>
      <c r="F36" s="3" t="n">
        <f aca="false">D36*_xlfn.XLOOKUP(C36,Item_Master!A:A,Item_Master!G:G)</f>
        <v>96000</v>
      </c>
      <c r="G36" s="0" t="str">
        <f aca="false">TEXT(B36,"MMM YYYY")</f>
        <v>Oct 2025</v>
      </c>
    </row>
    <row r="37" customFormat="false" ht="15" hidden="false" customHeight="false" outlineLevel="0" collapsed="false">
      <c r="A37" s="0" t="s">
        <v>782</v>
      </c>
      <c r="B37" s="4" t="n">
        <v>45934</v>
      </c>
      <c r="C37" s="0" t="s">
        <v>247</v>
      </c>
      <c r="D37" s="0" t="n">
        <v>33</v>
      </c>
      <c r="E37" s="0" t="s">
        <v>783</v>
      </c>
      <c r="F37" s="3" t="n">
        <f aca="false">D37*_xlfn.XLOOKUP(C37,Item_Master!A:A,Item_Master!G:G)</f>
        <v>33000</v>
      </c>
      <c r="G37" s="0" t="str">
        <f aca="false">TEXT(B37,"MMM YYYY")</f>
        <v>Oct 2025</v>
      </c>
    </row>
    <row r="38" customFormat="false" ht="15" hidden="false" customHeight="false" outlineLevel="0" collapsed="false">
      <c r="A38" s="0" t="s">
        <v>784</v>
      </c>
      <c r="B38" s="4" t="n">
        <v>45934</v>
      </c>
      <c r="C38" s="0" t="s">
        <v>392</v>
      </c>
      <c r="D38" s="0" t="n">
        <v>19</v>
      </c>
      <c r="E38" s="0" t="s">
        <v>785</v>
      </c>
      <c r="F38" s="3" t="n">
        <f aca="false">D38*_xlfn.XLOOKUP(C38,Item_Master!A:A,Item_Master!G:G)</f>
        <v>11970</v>
      </c>
      <c r="G38" s="0" t="str">
        <f aca="false">TEXT(B38,"MMM YYYY")</f>
        <v>Oct 2025</v>
      </c>
    </row>
    <row r="39" customFormat="false" ht="15" hidden="false" customHeight="false" outlineLevel="0" collapsed="false">
      <c r="A39" s="0" t="s">
        <v>786</v>
      </c>
      <c r="B39" s="4" t="n">
        <v>45934</v>
      </c>
      <c r="C39" s="0" t="s">
        <v>416</v>
      </c>
      <c r="D39" s="0" t="n">
        <v>22</v>
      </c>
      <c r="E39" s="0" t="s">
        <v>787</v>
      </c>
      <c r="F39" s="3" t="n">
        <f aca="false">D39*_xlfn.XLOOKUP(C39,Item_Master!A:A,Item_Master!G:G)</f>
        <v>34100</v>
      </c>
      <c r="G39" s="0" t="str">
        <f aca="false">TEXT(B39,"MMM YYYY")</f>
        <v>Oct 2025</v>
      </c>
    </row>
    <row r="40" customFormat="false" ht="15" hidden="false" customHeight="false" outlineLevel="0" collapsed="false">
      <c r="A40" s="0" t="s">
        <v>788</v>
      </c>
      <c r="B40" s="4" t="n">
        <v>45934</v>
      </c>
      <c r="C40" s="0" t="s">
        <v>437</v>
      </c>
      <c r="D40" s="0" t="n">
        <v>14</v>
      </c>
      <c r="E40" s="0" t="s">
        <v>789</v>
      </c>
      <c r="F40" s="3" t="n">
        <f aca="false">D40*_xlfn.XLOOKUP(C40,Item_Master!A:A,Item_Master!G:G)</f>
        <v>37940</v>
      </c>
      <c r="G40" s="0" t="str">
        <f aca="false">TEXT(B40,"MMM YYYY")</f>
        <v>Oct 2025</v>
      </c>
    </row>
    <row r="41" customFormat="false" ht="15" hidden="false" customHeight="false" outlineLevel="0" collapsed="false">
      <c r="A41" s="0" t="s">
        <v>790</v>
      </c>
      <c r="B41" s="4" t="n">
        <v>45934</v>
      </c>
      <c r="C41" s="0" t="s">
        <v>465</v>
      </c>
      <c r="D41" s="0" t="n">
        <v>7</v>
      </c>
      <c r="E41" s="0" t="s">
        <v>791</v>
      </c>
      <c r="F41" s="3" t="n">
        <f aca="false">D41*_xlfn.XLOOKUP(C41,Item_Master!A:A,Item_Master!G:G)</f>
        <v>15820</v>
      </c>
      <c r="G41" s="0" t="str">
        <f aca="false">TEXT(B41,"MMM YYYY")</f>
        <v>Oct 2025</v>
      </c>
    </row>
    <row r="42" customFormat="false" ht="15" hidden="false" customHeight="false" outlineLevel="0" collapsed="false">
      <c r="A42" s="0" t="s">
        <v>792</v>
      </c>
      <c r="B42" s="4" t="n">
        <v>45934</v>
      </c>
      <c r="C42" s="0" t="s">
        <v>500</v>
      </c>
      <c r="D42" s="0" t="n">
        <v>6</v>
      </c>
      <c r="E42" s="0" t="s">
        <v>793</v>
      </c>
      <c r="F42" s="3" t="n">
        <f aca="false">D42*_xlfn.XLOOKUP(C42,Item_Master!A:A,Item_Master!G:G)</f>
        <v>4140</v>
      </c>
      <c r="G42" s="0" t="str">
        <f aca="false">TEXT(B42,"MMM YYYY")</f>
        <v>Oct 2025</v>
      </c>
    </row>
    <row r="43" customFormat="false" ht="15" hidden="false" customHeight="false" outlineLevel="0" collapsed="false">
      <c r="A43" s="0" t="s">
        <v>794</v>
      </c>
      <c r="B43" s="4" t="n">
        <v>45934</v>
      </c>
      <c r="C43" s="0" t="s">
        <v>539</v>
      </c>
      <c r="D43" s="0" t="n">
        <v>31</v>
      </c>
      <c r="E43" s="0" t="s">
        <v>795</v>
      </c>
      <c r="F43" s="3" t="n">
        <f aca="false">D43*_xlfn.XLOOKUP(C43,Item_Master!A:A,Item_Master!G:G)</f>
        <v>153760</v>
      </c>
      <c r="G43" s="0" t="str">
        <f aca="false">TEXT(B43,"MMM YYYY")</f>
        <v>Oct 2025</v>
      </c>
    </row>
    <row r="44" customFormat="false" ht="15" hidden="false" customHeight="false" outlineLevel="0" collapsed="false">
      <c r="A44" s="0" t="s">
        <v>796</v>
      </c>
      <c r="B44" s="4" t="n">
        <v>45934</v>
      </c>
      <c r="C44" s="0" t="s">
        <v>592</v>
      </c>
      <c r="D44" s="0" t="n">
        <v>10</v>
      </c>
      <c r="E44" s="0" t="s">
        <v>797</v>
      </c>
      <c r="F44" s="3" t="n">
        <f aca="false">D44*_xlfn.XLOOKUP(C44,Item_Master!A:A,Item_Master!G:G)</f>
        <v>31900</v>
      </c>
      <c r="G44" s="0" t="str">
        <f aca="false">TEXT(B44,"MMM YYYY")</f>
        <v>Oct 2025</v>
      </c>
    </row>
    <row r="45" customFormat="false" ht="15" hidden="false" customHeight="false" outlineLevel="0" collapsed="false">
      <c r="A45" s="0" t="s">
        <v>798</v>
      </c>
      <c r="B45" s="4" t="n">
        <v>45934</v>
      </c>
      <c r="C45" s="0" t="s">
        <v>629</v>
      </c>
      <c r="D45" s="0" t="n">
        <v>2</v>
      </c>
      <c r="E45" s="0" t="s">
        <v>799</v>
      </c>
      <c r="F45" s="3" t="n">
        <f aca="false">D45*_xlfn.XLOOKUP(C45,Item_Master!A:A,Item_Master!G:G)</f>
        <v>24120</v>
      </c>
      <c r="G45" s="0" t="str">
        <f aca="false">TEXT(B45,"MMM YYYY")</f>
        <v>Oct 2025</v>
      </c>
    </row>
    <row r="46" customFormat="false" ht="15" hidden="false" customHeight="false" outlineLevel="0" collapsed="false">
      <c r="A46" s="0" t="s">
        <v>800</v>
      </c>
      <c r="B46" s="4" t="n">
        <v>45934</v>
      </c>
      <c r="C46" s="0" t="s">
        <v>654</v>
      </c>
      <c r="D46" s="0" t="n">
        <v>33</v>
      </c>
      <c r="E46" s="0" t="s">
        <v>801</v>
      </c>
      <c r="F46" s="3" t="n">
        <f aca="false">D46*_xlfn.XLOOKUP(C46,Item_Master!A:A,Item_Master!G:G)</f>
        <v>59400</v>
      </c>
      <c r="G46" s="0" t="str">
        <f aca="false">TEXT(B46,"MMM YYYY")</f>
        <v>Oct 2025</v>
      </c>
    </row>
    <row r="47" customFormat="false" ht="15" hidden="false" customHeight="false" outlineLevel="0" collapsed="false">
      <c r="A47" s="0" t="s">
        <v>802</v>
      </c>
      <c r="B47" s="4" t="n">
        <v>45934</v>
      </c>
      <c r="C47" s="0" t="s">
        <v>663</v>
      </c>
      <c r="D47" s="0" t="n">
        <v>8</v>
      </c>
      <c r="E47" s="0" t="s">
        <v>803</v>
      </c>
      <c r="F47" s="3" t="n">
        <f aca="false">D47*_xlfn.XLOOKUP(C47,Item_Master!A:A,Item_Master!G:G)</f>
        <v>4640</v>
      </c>
      <c r="G47" s="0" t="str">
        <f aca="false">TEXT(B47,"MMM YYYY")</f>
        <v>Oct 2025</v>
      </c>
    </row>
    <row r="48" customFormat="false" ht="15" hidden="false" customHeight="false" outlineLevel="0" collapsed="false">
      <c r="A48" s="0" t="s">
        <v>804</v>
      </c>
      <c r="B48" s="4" t="n">
        <v>45935</v>
      </c>
      <c r="C48" s="0" t="s">
        <v>279</v>
      </c>
      <c r="D48" s="0" t="n">
        <v>11</v>
      </c>
      <c r="E48" s="0" t="s">
        <v>805</v>
      </c>
      <c r="F48" s="3" t="n">
        <f aca="false">D48*_xlfn.XLOOKUP(C48,Item_Master!A:A,Item_Master!G:G)</f>
        <v>142670</v>
      </c>
      <c r="G48" s="0" t="str">
        <f aca="false">TEXT(B48,"MMM YYYY")</f>
        <v>Oct 2025</v>
      </c>
    </row>
    <row r="49" customFormat="false" ht="15" hidden="false" customHeight="false" outlineLevel="0" collapsed="false">
      <c r="A49" s="0" t="s">
        <v>806</v>
      </c>
      <c r="B49" s="4" t="n">
        <v>45935</v>
      </c>
      <c r="C49" s="0" t="s">
        <v>588</v>
      </c>
      <c r="D49" s="0" t="n">
        <v>21</v>
      </c>
      <c r="E49" s="0" t="s">
        <v>807</v>
      </c>
      <c r="F49" s="3" t="n">
        <f aca="false">D49*_xlfn.XLOOKUP(C49,Item_Master!A:A,Item_Master!G:G)</f>
        <v>64470</v>
      </c>
      <c r="G49" s="0" t="str">
        <f aca="false">TEXT(B49,"MMM YYYY")</f>
        <v>Oct 2025</v>
      </c>
    </row>
    <row r="50" customFormat="false" ht="15" hidden="false" customHeight="false" outlineLevel="0" collapsed="false">
      <c r="A50" s="0" t="s">
        <v>808</v>
      </c>
      <c r="B50" s="4" t="n">
        <v>45935</v>
      </c>
      <c r="C50" s="0" t="s">
        <v>632</v>
      </c>
      <c r="D50" s="0" t="n">
        <v>11</v>
      </c>
      <c r="E50" s="0" t="s">
        <v>809</v>
      </c>
      <c r="F50" s="3" t="n">
        <f aca="false">D50*_xlfn.XLOOKUP(C50,Item_Master!A:A,Item_Master!G:G)</f>
        <v>70950</v>
      </c>
      <c r="G50" s="0" t="str">
        <f aca="false">TEXT(B50,"MMM YYYY")</f>
        <v>Oct 2025</v>
      </c>
    </row>
    <row r="51" customFormat="false" ht="15" hidden="false" customHeight="false" outlineLevel="0" collapsed="false">
      <c r="A51" s="0" t="s">
        <v>810</v>
      </c>
      <c r="B51" s="4" t="n">
        <v>45935</v>
      </c>
      <c r="C51" s="0" t="s">
        <v>681</v>
      </c>
      <c r="D51" s="0" t="n">
        <v>35</v>
      </c>
      <c r="E51" s="0" t="s">
        <v>811</v>
      </c>
      <c r="F51" s="3" t="n">
        <f aca="false">D51*_xlfn.XLOOKUP(C51,Item_Master!A:A,Item_Master!G:G)</f>
        <v>43050</v>
      </c>
      <c r="G51" s="0" t="str">
        <f aca="false">TEXT(B51,"MMM YYYY")</f>
        <v>Oct 2025</v>
      </c>
    </row>
    <row r="52" customFormat="false" ht="15" hidden="false" customHeight="false" outlineLevel="0" collapsed="false">
      <c r="A52" s="0" t="s">
        <v>812</v>
      </c>
      <c r="B52" s="4" t="n">
        <v>45935</v>
      </c>
      <c r="C52" s="0" t="s">
        <v>706</v>
      </c>
      <c r="D52" s="0" t="n">
        <v>2</v>
      </c>
      <c r="E52" s="0" t="s">
        <v>813</v>
      </c>
      <c r="F52" s="3" t="n">
        <f aca="false">D52*_xlfn.XLOOKUP(C52,Item_Master!A:A,Item_Master!G:G)</f>
        <v>2460</v>
      </c>
      <c r="G52" s="0" t="str">
        <f aca="false">TEXT(B52,"MMM YYYY")</f>
        <v>Oct 2025</v>
      </c>
    </row>
    <row r="53" customFormat="false" ht="15" hidden="false" customHeight="false" outlineLevel="0" collapsed="false">
      <c r="A53" s="0" t="s">
        <v>814</v>
      </c>
      <c r="B53" s="4" t="n">
        <v>45936</v>
      </c>
      <c r="C53" s="0" t="s">
        <v>35</v>
      </c>
      <c r="D53" s="0" t="n">
        <v>18</v>
      </c>
      <c r="E53" s="0" t="s">
        <v>815</v>
      </c>
      <c r="F53" s="3" t="n">
        <f aca="false">D53*_xlfn.XLOOKUP(C53,Item_Master!A:A,Item_Master!G:G)</f>
        <v>34560</v>
      </c>
      <c r="G53" s="0" t="str">
        <f aca="false">TEXT(B53,"MMM YYYY")</f>
        <v>Oct 2025</v>
      </c>
    </row>
    <row r="54" customFormat="false" ht="15" hidden="false" customHeight="false" outlineLevel="0" collapsed="false">
      <c r="A54" s="0" t="s">
        <v>816</v>
      </c>
      <c r="B54" s="4" t="n">
        <v>45936</v>
      </c>
      <c r="C54" s="0" t="s">
        <v>55</v>
      </c>
      <c r="D54" s="0" t="n">
        <v>1</v>
      </c>
      <c r="E54" s="0" t="s">
        <v>817</v>
      </c>
      <c r="F54" s="3" t="n">
        <f aca="false">D54*_xlfn.XLOOKUP(C54,Item_Master!A:A,Item_Master!G:G)</f>
        <v>2920</v>
      </c>
      <c r="G54" s="0" t="str">
        <f aca="false">TEXT(B54,"MMM YYYY")</f>
        <v>Oct 2025</v>
      </c>
    </row>
    <row r="55" customFormat="false" ht="15" hidden="false" customHeight="false" outlineLevel="0" collapsed="false">
      <c r="A55" s="0" t="s">
        <v>818</v>
      </c>
      <c r="B55" s="4" t="n">
        <v>45936</v>
      </c>
      <c r="C55" s="0" t="s">
        <v>71</v>
      </c>
      <c r="D55" s="0" t="n">
        <v>8</v>
      </c>
      <c r="E55" s="0" t="s">
        <v>819</v>
      </c>
      <c r="F55" s="3" t="n">
        <f aca="false">D55*_xlfn.XLOOKUP(C55,Item_Master!A:A,Item_Master!G:G)</f>
        <v>3760</v>
      </c>
      <c r="G55" s="0" t="str">
        <f aca="false">TEXT(B55,"MMM YYYY")</f>
        <v>Oct 2025</v>
      </c>
    </row>
    <row r="56" customFormat="false" ht="15" hidden="false" customHeight="false" outlineLevel="0" collapsed="false">
      <c r="A56" s="0" t="s">
        <v>820</v>
      </c>
      <c r="B56" s="4" t="n">
        <v>45936</v>
      </c>
      <c r="C56" s="0" t="s">
        <v>87</v>
      </c>
      <c r="D56" s="0" t="n">
        <v>24</v>
      </c>
      <c r="E56" s="0" t="s">
        <v>821</v>
      </c>
      <c r="F56" s="3" t="n">
        <f aca="false">D56*_xlfn.XLOOKUP(C56,Item_Master!A:A,Item_Master!G:G)</f>
        <v>47760</v>
      </c>
      <c r="G56" s="0" t="str">
        <f aca="false">TEXT(B56,"MMM YYYY")</f>
        <v>Oct 2025</v>
      </c>
    </row>
    <row r="57" customFormat="false" ht="15" hidden="false" customHeight="false" outlineLevel="0" collapsed="false">
      <c r="A57" s="0" t="s">
        <v>822</v>
      </c>
      <c r="B57" s="4" t="n">
        <v>45936</v>
      </c>
      <c r="C57" s="0" t="s">
        <v>125</v>
      </c>
      <c r="D57" s="0" t="n">
        <v>13</v>
      </c>
      <c r="E57" s="0" t="s">
        <v>823</v>
      </c>
      <c r="F57" s="3" t="n">
        <f aca="false">D57*_xlfn.XLOOKUP(C57,Item_Master!A:A,Item_Master!G:G)</f>
        <v>29120</v>
      </c>
      <c r="G57" s="0" t="str">
        <f aca="false">TEXT(B57,"MMM YYYY")</f>
        <v>Oct 2025</v>
      </c>
    </row>
    <row r="58" customFormat="false" ht="15" hidden="false" customHeight="false" outlineLevel="0" collapsed="false">
      <c r="A58" s="0" t="s">
        <v>824</v>
      </c>
      <c r="B58" s="4" t="n">
        <v>45936</v>
      </c>
      <c r="C58" s="0" t="s">
        <v>125</v>
      </c>
      <c r="D58" s="0" t="n">
        <v>2</v>
      </c>
      <c r="E58" s="0" t="s">
        <v>825</v>
      </c>
      <c r="F58" s="3" t="n">
        <f aca="false">D58*_xlfn.XLOOKUP(C58,Item_Master!A:A,Item_Master!G:G)</f>
        <v>4480</v>
      </c>
      <c r="G58" s="0" t="str">
        <f aca="false">TEXT(B58,"MMM YYYY")</f>
        <v>Oct 2025</v>
      </c>
    </row>
    <row r="59" customFormat="false" ht="15" hidden="false" customHeight="false" outlineLevel="0" collapsed="false">
      <c r="A59" s="0" t="s">
        <v>826</v>
      </c>
      <c r="B59" s="4" t="n">
        <v>45936</v>
      </c>
      <c r="C59" s="0" t="s">
        <v>223</v>
      </c>
      <c r="D59" s="0" t="n">
        <v>10</v>
      </c>
      <c r="E59" s="0" t="s">
        <v>827</v>
      </c>
      <c r="F59" s="3" t="n">
        <f aca="false">D59*_xlfn.XLOOKUP(C59,Item_Master!A:A,Item_Master!G:G)</f>
        <v>2600</v>
      </c>
      <c r="G59" s="0" t="str">
        <f aca="false">TEXT(B59,"MMM YYYY")</f>
        <v>Oct 2025</v>
      </c>
    </row>
    <row r="60" customFormat="false" ht="15" hidden="false" customHeight="false" outlineLevel="0" collapsed="false">
      <c r="A60" s="0" t="s">
        <v>828</v>
      </c>
      <c r="B60" s="4" t="n">
        <v>45936</v>
      </c>
      <c r="C60" s="0" t="s">
        <v>239</v>
      </c>
      <c r="D60" s="0" t="n">
        <v>20</v>
      </c>
      <c r="E60" s="0" t="s">
        <v>829</v>
      </c>
      <c r="F60" s="3" t="n">
        <f aca="false">D60*_xlfn.XLOOKUP(C60,Item_Master!A:A,Item_Master!G:G)</f>
        <v>35000</v>
      </c>
      <c r="G60" s="0" t="str">
        <f aca="false">TEXT(B60,"MMM YYYY")</f>
        <v>Oct 2025</v>
      </c>
    </row>
    <row r="61" customFormat="false" ht="15" hidden="false" customHeight="false" outlineLevel="0" collapsed="false">
      <c r="A61" s="0" t="s">
        <v>830</v>
      </c>
      <c r="B61" s="4" t="n">
        <v>45936</v>
      </c>
      <c r="C61" s="0" t="s">
        <v>267</v>
      </c>
      <c r="D61" s="0" t="n">
        <v>24</v>
      </c>
      <c r="E61" s="0" t="s">
        <v>831</v>
      </c>
      <c r="F61" s="3" t="n">
        <f aca="false">D61*_xlfn.XLOOKUP(C61,Item_Master!A:A,Item_Master!G:G)</f>
        <v>4080</v>
      </c>
      <c r="G61" s="0" t="str">
        <f aca="false">TEXT(B61,"MMM YYYY")</f>
        <v>Oct 2025</v>
      </c>
    </row>
    <row r="62" customFormat="false" ht="15" hidden="false" customHeight="false" outlineLevel="0" collapsed="false">
      <c r="A62" s="0" t="s">
        <v>832</v>
      </c>
      <c r="B62" s="4" t="n">
        <v>45936</v>
      </c>
      <c r="C62" s="0" t="s">
        <v>275</v>
      </c>
      <c r="D62" s="0" t="n">
        <v>18</v>
      </c>
      <c r="E62" s="0" t="s">
        <v>833</v>
      </c>
      <c r="F62" s="3" t="n">
        <f aca="false">D62*_xlfn.XLOOKUP(C62,Item_Master!A:A,Item_Master!G:G)</f>
        <v>76320</v>
      </c>
      <c r="G62" s="0" t="str">
        <f aca="false">TEXT(B62,"MMM YYYY")</f>
        <v>Oct 2025</v>
      </c>
    </row>
    <row r="63" customFormat="false" ht="15" hidden="false" customHeight="false" outlineLevel="0" collapsed="false">
      <c r="A63" s="0" t="s">
        <v>834</v>
      </c>
      <c r="B63" s="4" t="n">
        <v>45936</v>
      </c>
      <c r="C63" s="0" t="s">
        <v>331</v>
      </c>
      <c r="D63" s="0" t="n">
        <v>3</v>
      </c>
      <c r="E63" s="0" t="s">
        <v>835</v>
      </c>
      <c r="F63" s="3" t="n">
        <f aca="false">D63*_xlfn.XLOOKUP(C63,Item_Master!A:A,Item_Master!G:G)</f>
        <v>3900</v>
      </c>
      <c r="G63" s="0" t="str">
        <f aca="false">TEXT(B63,"MMM YYYY")</f>
        <v>Oct 2025</v>
      </c>
    </row>
    <row r="64" customFormat="false" ht="15" hidden="false" customHeight="false" outlineLevel="0" collapsed="false">
      <c r="A64" s="0" t="s">
        <v>836</v>
      </c>
      <c r="B64" s="4" t="n">
        <v>45936</v>
      </c>
      <c r="C64" s="0" t="s">
        <v>575</v>
      </c>
      <c r="D64" s="0" t="n">
        <v>7</v>
      </c>
      <c r="E64" s="0" t="s">
        <v>837</v>
      </c>
      <c r="F64" s="3" t="n">
        <f aca="false">D64*_xlfn.XLOOKUP(C64,Item_Master!A:A,Item_Master!G:G)</f>
        <v>83230</v>
      </c>
      <c r="G64" s="0" t="str">
        <f aca="false">TEXT(B64,"MMM YYYY")</f>
        <v>Oct 2025</v>
      </c>
    </row>
    <row r="65" customFormat="false" ht="15" hidden="false" customHeight="false" outlineLevel="0" collapsed="false">
      <c r="A65" s="0" t="s">
        <v>838</v>
      </c>
      <c r="B65" s="4" t="n">
        <v>45936</v>
      </c>
      <c r="C65" s="0" t="s">
        <v>627</v>
      </c>
      <c r="D65" s="0" t="n">
        <v>21</v>
      </c>
      <c r="E65" s="0" t="s">
        <v>839</v>
      </c>
      <c r="F65" s="3" t="n">
        <f aca="false">D65*_xlfn.XLOOKUP(C65,Item_Master!A:A,Item_Master!G:G)</f>
        <v>150150</v>
      </c>
      <c r="G65" s="0" t="str">
        <f aca="false">TEXT(B65,"MMM YYYY")</f>
        <v>Oct 2025</v>
      </c>
    </row>
    <row r="66" customFormat="false" ht="15" hidden="false" customHeight="false" outlineLevel="0" collapsed="false">
      <c r="A66" s="0" t="s">
        <v>840</v>
      </c>
      <c r="B66" s="4" t="n">
        <v>45936</v>
      </c>
      <c r="C66" s="0" t="s">
        <v>665</v>
      </c>
      <c r="D66" s="0" t="n">
        <v>3</v>
      </c>
      <c r="E66" s="0" t="s">
        <v>841</v>
      </c>
      <c r="F66" s="3" t="n">
        <f aca="false">D66*_xlfn.XLOOKUP(C66,Item_Master!A:A,Item_Master!G:G)</f>
        <v>3420</v>
      </c>
      <c r="G66" s="0" t="str">
        <f aca="false">TEXT(B66,"MMM YYYY")</f>
        <v>Oct 2025</v>
      </c>
    </row>
    <row r="67" customFormat="false" ht="15" hidden="false" customHeight="false" outlineLevel="0" collapsed="false">
      <c r="A67" s="0" t="s">
        <v>842</v>
      </c>
      <c r="B67" s="4" t="n">
        <v>45937</v>
      </c>
      <c r="C67" s="0" t="s">
        <v>193</v>
      </c>
      <c r="D67" s="0" t="n">
        <v>2</v>
      </c>
      <c r="E67" s="0" t="s">
        <v>843</v>
      </c>
      <c r="F67" s="3" t="n">
        <f aca="false">D67*_xlfn.XLOOKUP(C67,Item_Master!A:A,Item_Master!G:G)</f>
        <v>38060</v>
      </c>
      <c r="G67" s="0" t="str">
        <f aca="false">TEXT(B67,"MMM YYYY")</f>
        <v>Oct 2025</v>
      </c>
    </row>
    <row r="68" customFormat="false" ht="15" hidden="false" customHeight="false" outlineLevel="0" collapsed="false">
      <c r="A68" s="0" t="s">
        <v>844</v>
      </c>
      <c r="B68" s="4" t="n">
        <v>45937</v>
      </c>
      <c r="C68" s="0" t="s">
        <v>319</v>
      </c>
      <c r="D68" s="0" t="n">
        <v>36</v>
      </c>
      <c r="E68" s="0" t="s">
        <v>845</v>
      </c>
      <c r="F68" s="3" t="n">
        <f aca="false">D68*_xlfn.XLOOKUP(C68,Item_Master!A:A,Item_Master!G:G)</f>
        <v>817560</v>
      </c>
      <c r="G68" s="0" t="str">
        <f aca="false">TEXT(B68,"MMM YYYY")</f>
        <v>Oct 2025</v>
      </c>
    </row>
    <row r="69" customFormat="false" ht="15" hidden="false" customHeight="false" outlineLevel="0" collapsed="false">
      <c r="A69" s="0" t="s">
        <v>846</v>
      </c>
      <c r="B69" s="4" t="n">
        <v>45937</v>
      </c>
      <c r="C69" s="0" t="s">
        <v>415</v>
      </c>
      <c r="D69" s="0" t="n">
        <v>1</v>
      </c>
      <c r="E69" s="0" t="s">
        <v>847</v>
      </c>
      <c r="F69" s="3" t="n">
        <f aca="false">D69*_xlfn.XLOOKUP(C69,Item_Master!A:A,Item_Master!G:G)</f>
        <v>1330</v>
      </c>
      <c r="G69" s="0" t="str">
        <f aca="false">TEXT(B69,"MMM YYYY")</f>
        <v>Oct 2025</v>
      </c>
    </row>
    <row r="70" customFormat="false" ht="15" hidden="false" customHeight="false" outlineLevel="0" collapsed="false">
      <c r="A70" s="0" t="s">
        <v>848</v>
      </c>
      <c r="B70" s="4" t="n">
        <v>45937</v>
      </c>
      <c r="C70" s="0" t="s">
        <v>438</v>
      </c>
      <c r="D70" s="0" t="n">
        <v>13</v>
      </c>
      <c r="E70" s="0" t="s">
        <v>849</v>
      </c>
      <c r="F70" s="3" t="n">
        <f aca="false">D70*_xlfn.XLOOKUP(C70,Item_Master!A:A,Item_Master!G:G)</f>
        <v>2600</v>
      </c>
      <c r="G70" s="0" t="str">
        <f aca="false">TEXT(B70,"MMM YYYY")</f>
        <v>Oct 2025</v>
      </c>
    </row>
    <row r="71" customFormat="false" ht="15" hidden="false" customHeight="false" outlineLevel="0" collapsed="false">
      <c r="A71" s="0" t="s">
        <v>850</v>
      </c>
      <c r="B71" s="4" t="n">
        <v>45937</v>
      </c>
      <c r="C71" s="0" t="s">
        <v>515</v>
      </c>
      <c r="D71" s="0" t="n">
        <v>31</v>
      </c>
      <c r="E71" s="0" t="s">
        <v>851</v>
      </c>
      <c r="F71" s="3" t="n">
        <f aca="false">D71*_xlfn.XLOOKUP(C71,Item_Master!A:A,Item_Master!G:G)</f>
        <v>29140</v>
      </c>
      <c r="G71" s="0" t="str">
        <f aca="false">TEXT(B71,"MMM YYYY")</f>
        <v>Oct 2025</v>
      </c>
    </row>
    <row r="72" customFormat="false" ht="15" hidden="false" customHeight="false" outlineLevel="0" collapsed="false">
      <c r="A72" s="0" t="s">
        <v>852</v>
      </c>
      <c r="B72" s="4" t="n">
        <v>45937</v>
      </c>
      <c r="C72" s="0" t="s">
        <v>529</v>
      </c>
      <c r="D72" s="0" t="n">
        <v>23</v>
      </c>
      <c r="E72" s="0" t="s">
        <v>853</v>
      </c>
      <c r="F72" s="3" t="n">
        <f aca="false">D72*_xlfn.XLOOKUP(C72,Item_Master!A:A,Item_Master!G:G)</f>
        <v>270480</v>
      </c>
      <c r="G72" s="0" t="str">
        <f aca="false">TEXT(B72,"MMM YYYY")</f>
        <v>Oct 2025</v>
      </c>
    </row>
    <row r="73" customFormat="false" ht="15" hidden="false" customHeight="false" outlineLevel="0" collapsed="false">
      <c r="A73" s="0" t="s">
        <v>854</v>
      </c>
      <c r="B73" s="4" t="n">
        <v>45937</v>
      </c>
      <c r="C73" s="0" t="s">
        <v>594</v>
      </c>
      <c r="D73" s="0" t="n">
        <v>5</v>
      </c>
      <c r="E73" s="0" t="s">
        <v>855</v>
      </c>
      <c r="F73" s="3" t="n">
        <f aca="false">D73*_xlfn.XLOOKUP(C73,Item_Master!A:A,Item_Master!G:G)</f>
        <v>12700</v>
      </c>
      <c r="G73" s="0" t="str">
        <f aca="false">TEXT(B73,"MMM YYYY")</f>
        <v>Oct 2025</v>
      </c>
    </row>
    <row r="74" customFormat="false" ht="15" hidden="false" customHeight="false" outlineLevel="0" collapsed="false">
      <c r="A74" s="0" t="s">
        <v>856</v>
      </c>
      <c r="B74" s="4" t="n">
        <v>45937</v>
      </c>
      <c r="C74" s="0" t="s">
        <v>636</v>
      </c>
      <c r="D74" s="0" t="n">
        <v>16</v>
      </c>
      <c r="E74" s="0" t="s">
        <v>857</v>
      </c>
      <c r="F74" s="3" t="n">
        <f aca="false">D74*_xlfn.XLOOKUP(C74,Item_Master!A:A,Item_Master!G:G)</f>
        <v>20800</v>
      </c>
      <c r="G74" s="0" t="str">
        <f aca="false">TEXT(B74,"MMM YYYY")</f>
        <v>Oct 2025</v>
      </c>
    </row>
    <row r="75" customFormat="false" ht="15" hidden="false" customHeight="false" outlineLevel="0" collapsed="false">
      <c r="A75" s="0" t="s">
        <v>858</v>
      </c>
      <c r="B75" s="4" t="n">
        <v>45937</v>
      </c>
      <c r="C75" s="0" t="s">
        <v>677</v>
      </c>
      <c r="D75" s="0" t="n">
        <v>23</v>
      </c>
      <c r="E75" s="0" t="s">
        <v>859</v>
      </c>
      <c r="F75" s="3" t="n">
        <f aca="false">D75*_xlfn.XLOOKUP(C75,Item_Master!A:A,Item_Master!G:G)</f>
        <v>17940</v>
      </c>
      <c r="G75" s="0" t="str">
        <f aca="false">TEXT(B75,"MMM YYYY")</f>
        <v>Oct 2025</v>
      </c>
    </row>
    <row r="76" customFormat="false" ht="15" hidden="false" customHeight="false" outlineLevel="0" collapsed="false">
      <c r="A76" s="0" t="s">
        <v>860</v>
      </c>
      <c r="B76" s="4" t="n">
        <v>45938</v>
      </c>
      <c r="C76" s="0" t="s">
        <v>61</v>
      </c>
      <c r="D76" s="0" t="n">
        <v>25</v>
      </c>
      <c r="E76" s="0" t="s">
        <v>861</v>
      </c>
      <c r="F76" s="3" t="n">
        <f aca="false">D76*_xlfn.XLOOKUP(C76,Item_Master!A:A,Item_Master!G:G)</f>
        <v>48250</v>
      </c>
      <c r="G76" s="0" t="str">
        <f aca="false">TEXT(B76,"MMM YYYY")</f>
        <v>Oct 2025</v>
      </c>
    </row>
    <row r="77" customFormat="false" ht="15" hidden="false" customHeight="false" outlineLevel="0" collapsed="false">
      <c r="A77" s="0" t="s">
        <v>862</v>
      </c>
      <c r="B77" s="4" t="n">
        <v>45938</v>
      </c>
      <c r="C77" s="0" t="s">
        <v>127</v>
      </c>
      <c r="D77" s="0" t="n">
        <v>7</v>
      </c>
      <c r="E77" s="0" t="s">
        <v>863</v>
      </c>
      <c r="F77" s="3" t="n">
        <f aca="false">D77*_xlfn.XLOOKUP(C77,Item_Master!A:A,Item_Master!G:G)</f>
        <v>18970</v>
      </c>
      <c r="G77" s="0" t="str">
        <f aca="false">TEXT(B77,"MMM YYYY")</f>
        <v>Oct 2025</v>
      </c>
    </row>
    <row r="78" customFormat="false" ht="15" hidden="false" customHeight="false" outlineLevel="0" collapsed="false">
      <c r="A78" s="0" t="s">
        <v>864</v>
      </c>
      <c r="B78" s="4" t="n">
        <v>45938</v>
      </c>
      <c r="C78" s="0" t="s">
        <v>180</v>
      </c>
      <c r="D78" s="0" t="n">
        <v>1</v>
      </c>
      <c r="E78" s="0" t="s">
        <v>865</v>
      </c>
      <c r="F78" s="3" t="n">
        <f aca="false">D78*_xlfn.XLOOKUP(C78,Item_Master!A:A,Item_Master!G:G)</f>
        <v>9560</v>
      </c>
      <c r="G78" s="0" t="str">
        <f aca="false">TEXT(B78,"MMM YYYY")</f>
        <v>Oct 2025</v>
      </c>
    </row>
    <row r="79" customFormat="false" ht="15" hidden="false" customHeight="false" outlineLevel="0" collapsed="false">
      <c r="A79" s="0" t="s">
        <v>866</v>
      </c>
      <c r="B79" s="4" t="n">
        <v>45938</v>
      </c>
      <c r="C79" s="0" t="s">
        <v>200</v>
      </c>
      <c r="D79" s="0" t="n">
        <v>24</v>
      </c>
      <c r="E79" s="0" t="s">
        <v>867</v>
      </c>
      <c r="F79" s="3" t="n">
        <f aca="false">D79*_xlfn.XLOOKUP(C79,Item_Master!A:A,Item_Master!G:G)</f>
        <v>24960</v>
      </c>
      <c r="G79" s="0" t="str">
        <f aca="false">TEXT(B79,"MMM YYYY")</f>
        <v>Oct 2025</v>
      </c>
    </row>
    <row r="80" customFormat="false" ht="15" hidden="false" customHeight="false" outlineLevel="0" collapsed="false">
      <c r="A80" s="0" t="s">
        <v>868</v>
      </c>
      <c r="B80" s="4" t="n">
        <v>45938</v>
      </c>
      <c r="C80" s="0" t="s">
        <v>353</v>
      </c>
      <c r="D80" s="0" t="n">
        <v>21</v>
      </c>
      <c r="E80" s="0" t="s">
        <v>869</v>
      </c>
      <c r="F80" s="3" t="n">
        <f aca="false">D80*_xlfn.XLOOKUP(C80,Item_Master!A:A,Item_Master!G:G)</f>
        <v>8820</v>
      </c>
      <c r="G80" s="0" t="str">
        <f aca="false">TEXT(B80,"MMM YYYY")</f>
        <v>Oct 2025</v>
      </c>
    </row>
    <row r="81" customFormat="false" ht="15" hidden="false" customHeight="false" outlineLevel="0" collapsed="false">
      <c r="A81" s="0" t="s">
        <v>870</v>
      </c>
      <c r="B81" s="4" t="n">
        <v>45938</v>
      </c>
      <c r="C81" s="0" t="s">
        <v>409</v>
      </c>
      <c r="D81" s="0" t="n">
        <v>4</v>
      </c>
      <c r="E81" s="0" t="s">
        <v>871</v>
      </c>
      <c r="F81" s="3" t="n">
        <f aca="false">D81*_xlfn.XLOOKUP(C81,Item_Master!A:A,Item_Master!G:G)</f>
        <v>17640</v>
      </c>
      <c r="G81" s="0" t="str">
        <f aca="false">TEXT(B81,"MMM YYYY")</f>
        <v>Oct 2025</v>
      </c>
    </row>
    <row r="82" customFormat="false" ht="15" hidden="false" customHeight="false" outlineLevel="0" collapsed="false">
      <c r="A82" s="0" t="s">
        <v>872</v>
      </c>
      <c r="B82" s="4" t="n">
        <v>45938</v>
      </c>
      <c r="C82" s="0" t="s">
        <v>476</v>
      </c>
      <c r="D82" s="0" t="n">
        <v>5</v>
      </c>
      <c r="E82" s="0" t="s">
        <v>873</v>
      </c>
      <c r="F82" s="3" t="n">
        <f aca="false">D82*_xlfn.XLOOKUP(C82,Item_Master!A:A,Item_Master!G:G)</f>
        <v>3050</v>
      </c>
      <c r="G82" s="0" t="str">
        <f aca="false">TEXT(B82,"MMM YYYY")</f>
        <v>Oct 2025</v>
      </c>
    </row>
    <row r="83" customFormat="false" ht="15" hidden="false" customHeight="false" outlineLevel="0" collapsed="false">
      <c r="A83" s="0" t="s">
        <v>874</v>
      </c>
      <c r="B83" s="4" t="n">
        <v>45938</v>
      </c>
      <c r="C83" s="0" t="s">
        <v>603</v>
      </c>
      <c r="D83" s="0" t="n">
        <v>16</v>
      </c>
      <c r="E83" s="0" t="s">
        <v>875</v>
      </c>
      <c r="F83" s="3" t="n">
        <f aca="false">D83*_xlfn.XLOOKUP(C83,Item_Master!A:A,Item_Master!G:G)</f>
        <v>7200</v>
      </c>
      <c r="G83" s="0" t="str">
        <f aca="false">TEXT(B83,"MMM YYYY")</f>
        <v>Oct 2025</v>
      </c>
    </row>
    <row r="84" customFormat="false" ht="15" hidden="false" customHeight="false" outlineLevel="0" collapsed="false">
      <c r="A84" s="0" t="s">
        <v>876</v>
      </c>
      <c r="B84" s="4" t="n">
        <v>45938</v>
      </c>
      <c r="C84" s="0" t="s">
        <v>606</v>
      </c>
      <c r="D84" s="0" t="n">
        <v>6</v>
      </c>
      <c r="E84" s="0" t="s">
        <v>877</v>
      </c>
      <c r="F84" s="3" t="n">
        <f aca="false">D84*_xlfn.XLOOKUP(C84,Item_Master!A:A,Item_Master!G:G)</f>
        <v>10920</v>
      </c>
      <c r="G84" s="0" t="str">
        <f aca="false">TEXT(B84,"MMM YYYY")</f>
        <v>Oct 2025</v>
      </c>
    </row>
    <row r="85" customFormat="false" ht="15" hidden="false" customHeight="false" outlineLevel="0" collapsed="false">
      <c r="A85" s="0" t="s">
        <v>878</v>
      </c>
      <c r="B85" s="4" t="n">
        <v>45939</v>
      </c>
      <c r="C85" s="0" t="s">
        <v>41</v>
      </c>
      <c r="D85" s="0" t="n">
        <v>31</v>
      </c>
      <c r="E85" s="0" t="s">
        <v>879</v>
      </c>
      <c r="F85" s="3" t="n">
        <f aca="false">D85*_xlfn.XLOOKUP(C85,Item_Master!A:A,Item_Master!G:G)</f>
        <v>31620</v>
      </c>
      <c r="G85" s="0" t="str">
        <f aca="false">TEXT(B85,"MMM YYYY")</f>
        <v>Oct 2025</v>
      </c>
    </row>
    <row r="86" customFormat="false" ht="15" hidden="false" customHeight="false" outlineLevel="0" collapsed="false">
      <c r="A86" s="0" t="s">
        <v>880</v>
      </c>
      <c r="B86" s="4" t="n">
        <v>45939</v>
      </c>
      <c r="C86" s="0" t="s">
        <v>103</v>
      </c>
      <c r="D86" s="0" t="n">
        <v>15</v>
      </c>
      <c r="E86" s="0" t="s">
        <v>881</v>
      </c>
      <c r="F86" s="3" t="n">
        <f aca="false">D86*_xlfn.XLOOKUP(C86,Item_Master!A:A,Item_Master!G:G)</f>
        <v>27000</v>
      </c>
      <c r="G86" s="0" t="str">
        <f aca="false">TEXT(B86,"MMM YYYY")</f>
        <v>Oct 2025</v>
      </c>
    </row>
    <row r="87" customFormat="false" ht="15" hidden="false" customHeight="false" outlineLevel="0" collapsed="false">
      <c r="A87" s="0" t="s">
        <v>882</v>
      </c>
      <c r="B87" s="4" t="n">
        <v>45939</v>
      </c>
      <c r="C87" s="0" t="s">
        <v>120</v>
      </c>
      <c r="D87" s="0" t="n">
        <v>17</v>
      </c>
      <c r="E87" s="0" t="s">
        <v>883</v>
      </c>
      <c r="F87" s="3" t="n">
        <f aca="false">D87*_xlfn.XLOOKUP(C87,Item_Master!A:A,Item_Master!G:G)</f>
        <v>4420</v>
      </c>
      <c r="G87" s="0" t="str">
        <f aca="false">TEXT(B87,"MMM YYYY")</f>
        <v>Oct 2025</v>
      </c>
    </row>
    <row r="88" customFormat="false" ht="15" hidden="false" customHeight="false" outlineLevel="0" collapsed="false">
      <c r="A88" s="0" t="s">
        <v>884</v>
      </c>
      <c r="B88" s="4" t="n">
        <v>45939</v>
      </c>
      <c r="C88" s="0" t="s">
        <v>333</v>
      </c>
      <c r="D88" s="0" t="n">
        <v>1</v>
      </c>
      <c r="E88" s="0" t="s">
        <v>885</v>
      </c>
      <c r="F88" s="3" t="n">
        <f aca="false">D88*_xlfn.XLOOKUP(C88,Item_Master!A:A,Item_Master!G:G)</f>
        <v>3820</v>
      </c>
      <c r="G88" s="0" t="str">
        <f aca="false">TEXT(B88,"MMM YYYY")</f>
        <v>Oct 2025</v>
      </c>
    </row>
    <row r="89" customFormat="false" ht="15" hidden="false" customHeight="false" outlineLevel="0" collapsed="false">
      <c r="A89" s="0" t="s">
        <v>886</v>
      </c>
      <c r="B89" s="4" t="n">
        <v>45939</v>
      </c>
      <c r="C89" s="0" t="s">
        <v>341</v>
      </c>
      <c r="D89" s="0" t="n">
        <v>15</v>
      </c>
      <c r="E89" s="0" t="s">
        <v>887</v>
      </c>
      <c r="F89" s="3" t="n">
        <f aca="false">D89*_xlfn.XLOOKUP(C89,Item_Master!A:A,Item_Master!G:G)</f>
        <v>10500</v>
      </c>
      <c r="G89" s="0" t="str">
        <f aca="false">TEXT(B89,"MMM YYYY")</f>
        <v>Oct 2025</v>
      </c>
    </row>
    <row r="90" customFormat="false" ht="15" hidden="false" customHeight="false" outlineLevel="0" collapsed="false">
      <c r="A90" s="0" t="s">
        <v>888</v>
      </c>
      <c r="B90" s="4" t="n">
        <v>45939</v>
      </c>
      <c r="C90" s="0" t="s">
        <v>370</v>
      </c>
      <c r="D90" s="0" t="n">
        <v>35</v>
      </c>
      <c r="E90" s="0" t="s">
        <v>889</v>
      </c>
      <c r="F90" s="3" t="n">
        <f aca="false">D90*_xlfn.XLOOKUP(C90,Item_Master!A:A,Item_Master!G:G)</f>
        <v>40950</v>
      </c>
      <c r="G90" s="0" t="str">
        <f aca="false">TEXT(B90,"MMM YYYY")</f>
        <v>Oct 2025</v>
      </c>
    </row>
    <row r="91" customFormat="false" ht="15" hidden="false" customHeight="false" outlineLevel="0" collapsed="false">
      <c r="A91" s="0" t="s">
        <v>890</v>
      </c>
      <c r="B91" s="4" t="n">
        <v>45939</v>
      </c>
      <c r="C91" s="0" t="s">
        <v>424</v>
      </c>
      <c r="D91" s="0" t="n">
        <v>34</v>
      </c>
      <c r="E91" s="0" t="s">
        <v>891</v>
      </c>
      <c r="F91" s="3" t="n">
        <f aca="false">D91*_xlfn.XLOOKUP(C91,Item_Master!A:A,Item_Master!G:G)</f>
        <v>83640</v>
      </c>
      <c r="G91" s="0" t="str">
        <f aca="false">TEXT(B91,"MMM YYYY")</f>
        <v>Oct 2025</v>
      </c>
    </row>
    <row r="92" customFormat="false" ht="15" hidden="false" customHeight="false" outlineLevel="0" collapsed="false">
      <c r="A92" s="0" t="s">
        <v>892</v>
      </c>
      <c r="B92" s="4" t="n">
        <v>45939</v>
      </c>
      <c r="C92" s="0" t="s">
        <v>549</v>
      </c>
      <c r="D92" s="0" t="n">
        <v>18</v>
      </c>
      <c r="E92" s="0" t="s">
        <v>893</v>
      </c>
      <c r="F92" s="3" t="n">
        <f aca="false">D92*_xlfn.XLOOKUP(C92,Item_Master!A:A,Item_Master!G:G)</f>
        <v>204300</v>
      </c>
      <c r="G92" s="0" t="str">
        <f aca="false">TEXT(B92,"MMM YYYY")</f>
        <v>Oct 2025</v>
      </c>
    </row>
    <row r="93" customFormat="false" ht="15" hidden="false" customHeight="false" outlineLevel="0" collapsed="false">
      <c r="A93" s="0" t="s">
        <v>894</v>
      </c>
      <c r="B93" s="4" t="n">
        <v>45939</v>
      </c>
      <c r="C93" s="0" t="s">
        <v>551</v>
      </c>
      <c r="D93" s="0" t="n">
        <v>40</v>
      </c>
      <c r="E93" s="0" t="s">
        <v>895</v>
      </c>
      <c r="F93" s="3" t="n">
        <f aca="false">D93*_xlfn.XLOOKUP(C93,Item_Master!A:A,Item_Master!G:G)</f>
        <v>476800</v>
      </c>
      <c r="G93" s="0" t="str">
        <f aca="false">TEXT(B93,"MMM YYYY")</f>
        <v>Oct 2025</v>
      </c>
    </row>
    <row r="94" customFormat="false" ht="15" hidden="false" customHeight="false" outlineLevel="0" collapsed="false">
      <c r="A94" s="0" t="s">
        <v>896</v>
      </c>
      <c r="B94" s="4" t="n">
        <v>45940</v>
      </c>
      <c r="C94" s="0" t="s">
        <v>37</v>
      </c>
      <c r="D94" s="0" t="n">
        <v>4</v>
      </c>
      <c r="E94" s="0" t="s">
        <v>897</v>
      </c>
      <c r="F94" s="3" t="n">
        <f aca="false">D94*_xlfn.XLOOKUP(C94,Item_Master!A:A,Item_Master!G:G)</f>
        <v>2160</v>
      </c>
      <c r="G94" s="0" t="str">
        <f aca="false">TEXT(B94,"MMM YYYY")</f>
        <v>Oct 2025</v>
      </c>
    </row>
    <row r="95" customFormat="false" ht="15" hidden="false" customHeight="false" outlineLevel="0" collapsed="false">
      <c r="A95" s="0" t="s">
        <v>898</v>
      </c>
      <c r="B95" s="4" t="n">
        <v>45940</v>
      </c>
      <c r="C95" s="0" t="s">
        <v>71</v>
      </c>
      <c r="D95" s="0" t="n">
        <v>2</v>
      </c>
      <c r="E95" s="0" t="s">
        <v>899</v>
      </c>
      <c r="F95" s="3" t="n">
        <f aca="false">D95*_xlfn.XLOOKUP(C95,Item_Master!A:A,Item_Master!G:G)</f>
        <v>940</v>
      </c>
      <c r="G95" s="0" t="str">
        <f aca="false">TEXT(B95,"MMM YYYY")</f>
        <v>Oct 2025</v>
      </c>
    </row>
    <row r="96" customFormat="false" ht="15" hidden="false" customHeight="false" outlineLevel="0" collapsed="false">
      <c r="A96" s="0" t="s">
        <v>900</v>
      </c>
      <c r="B96" s="4" t="n">
        <v>45940</v>
      </c>
      <c r="C96" s="0" t="s">
        <v>146</v>
      </c>
      <c r="D96" s="0" t="n">
        <v>1</v>
      </c>
      <c r="E96" s="0" t="s">
        <v>901</v>
      </c>
      <c r="F96" s="3" t="n">
        <f aca="false">D96*_xlfn.XLOOKUP(C96,Item_Master!A:A,Item_Master!G:G)</f>
        <v>2760</v>
      </c>
      <c r="G96" s="0" t="str">
        <f aca="false">TEXT(B96,"MMM YYYY")</f>
        <v>Oct 2025</v>
      </c>
    </row>
    <row r="97" customFormat="false" ht="15" hidden="false" customHeight="false" outlineLevel="0" collapsed="false">
      <c r="A97" s="0" t="s">
        <v>902</v>
      </c>
      <c r="B97" s="4" t="n">
        <v>45940</v>
      </c>
      <c r="C97" s="0" t="s">
        <v>165</v>
      </c>
      <c r="D97" s="0" t="n">
        <v>8</v>
      </c>
      <c r="E97" s="0" t="s">
        <v>903</v>
      </c>
      <c r="F97" s="3" t="n">
        <f aca="false">D97*_xlfn.XLOOKUP(C97,Item_Master!A:A,Item_Master!G:G)</f>
        <v>7760</v>
      </c>
      <c r="G97" s="0" t="str">
        <f aca="false">TEXT(B97,"MMM YYYY")</f>
        <v>Oct 2025</v>
      </c>
    </row>
    <row r="98" customFormat="false" ht="15" hidden="false" customHeight="false" outlineLevel="0" collapsed="false">
      <c r="A98" s="0" t="s">
        <v>904</v>
      </c>
      <c r="B98" s="4" t="n">
        <v>45940</v>
      </c>
      <c r="C98" s="0" t="s">
        <v>169</v>
      </c>
      <c r="D98" s="0" t="n">
        <v>30</v>
      </c>
      <c r="E98" s="0" t="s">
        <v>905</v>
      </c>
      <c r="F98" s="3" t="n">
        <f aca="false">D98*_xlfn.XLOOKUP(C98,Item_Master!A:A,Item_Master!G:G)</f>
        <v>123600</v>
      </c>
      <c r="G98" s="0" t="str">
        <f aca="false">TEXT(B98,"MMM YYYY")</f>
        <v>Oct 2025</v>
      </c>
    </row>
    <row r="99" customFormat="false" ht="15" hidden="false" customHeight="false" outlineLevel="0" collapsed="false">
      <c r="A99" s="0" t="s">
        <v>906</v>
      </c>
      <c r="B99" s="4" t="n">
        <v>45940</v>
      </c>
      <c r="C99" s="0" t="s">
        <v>401</v>
      </c>
      <c r="D99" s="0" t="n">
        <v>7</v>
      </c>
      <c r="E99" s="0" t="s">
        <v>907</v>
      </c>
      <c r="F99" s="3" t="n">
        <f aca="false">D99*_xlfn.XLOOKUP(C99,Item_Master!A:A,Item_Master!G:G)</f>
        <v>140770</v>
      </c>
      <c r="G99" s="0" t="str">
        <f aca="false">TEXT(B99,"MMM YYYY")</f>
        <v>Oct 2025</v>
      </c>
    </row>
    <row r="100" customFormat="false" ht="15" hidden="false" customHeight="false" outlineLevel="0" collapsed="false">
      <c r="A100" s="0" t="s">
        <v>908</v>
      </c>
      <c r="B100" s="4" t="n">
        <v>45940</v>
      </c>
      <c r="C100" s="0" t="s">
        <v>421</v>
      </c>
      <c r="D100" s="0" t="n">
        <v>9</v>
      </c>
      <c r="E100" s="0" t="s">
        <v>909</v>
      </c>
      <c r="F100" s="3" t="n">
        <f aca="false">D100*_xlfn.XLOOKUP(C100,Item_Master!A:A,Item_Master!G:G)</f>
        <v>1530</v>
      </c>
      <c r="G100" s="0" t="str">
        <f aca="false">TEXT(B100,"MMM YYYY")</f>
        <v>Oct 2025</v>
      </c>
    </row>
    <row r="101" customFormat="false" ht="15" hidden="false" customHeight="false" outlineLevel="0" collapsed="false">
      <c r="A101" s="0" t="s">
        <v>910</v>
      </c>
      <c r="B101" s="4" t="n">
        <v>45940</v>
      </c>
      <c r="C101" s="0" t="s">
        <v>452</v>
      </c>
      <c r="D101" s="0" t="n">
        <v>6</v>
      </c>
      <c r="E101" s="0" t="s">
        <v>911</v>
      </c>
      <c r="F101" s="3" t="n">
        <f aca="false">D101*_xlfn.XLOOKUP(C101,Item_Master!A:A,Item_Master!G:G)</f>
        <v>5160</v>
      </c>
      <c r="G101" s="0" t="str">
        <f aca="false">TEXT(B101,"MMM YYYY")</f>
        <v>Oct 2025</v>
      </c>
    </row>
    <row r="102" customFormat="false" ht="15" hidden="false" customHeight="false" outlineLevel="0" collapsed="false">
      <c r="A102" s="0" t="s">
        <v>912</v>
      </c>
      <c r="B102" s="4" t="n">
        <v>45940</v>
      </c>
      <c r="C102" s="0" t="s">
        <v>590</v>
      </c>
      <c r="D102" s="0" t="n">
        <v>13</v>
      </c>
      <c r="E102" s="0" t="s">
        <v>913</v>
      </c>
      <c r="F102" s="3" t="n">
        <f aca="false">D102*_xlfn.XLOOKUP(C102,Item_Master!A:A,Item_Master!G:G)</f>
        <v>24050</v>
      </c>
      <c r="G102" s="0" t="str">
        <f aca="false">TEXT(B102,"MMM YYYY")</f>
        <v>Oct 2025</v>
      </c>
    </row>
    <row r="103" customFormat="false" ht="15" hidden="false" customHeight="false" outlineLevel="0" collapsed="false">
      <c r="A103" s="0" t="s">
        <v>914</v>
      </c>
      <c r="B103" s="4" t="n">
        <v>45940</v>
      </c>
      <c r="C103" s="0" t="s">
        <v>606</v>
      </c>
      <c r="D103" s="0" t="n">
        <v>29</v>
      </c>
      <c r="E103" s="0" t="s">
        <v>915</v>
      </c>
      <c r="F103" s="3" t="n">
        <f aca="false">D103*_xlfn.XLOOKUP(C103,Item_Master!A:A,Item_Master!G:G)</f>
        <v>52780</v>
      </c>
      <c r="G103" s="0" t="str">
        <f aca="false">TEXT(B103,"MMM YYYY")</f>
        <v>Oct 2025</v>
      </c>
    </row>
    <row r="104" customFormat="false" ht="15" hidden="false" customHeight="false" outlineLevel="0" collapsed="false">
      <c r="A104" s="0" t="s">
        <v>916</v>
      </c>
      <c r="B104" s="4" t="n">
        <v>45940</v>
      </c>
      <c r="C104" s="0" t="s">
        <v>612</v>
      </c>
      <c r="D104" s="0" t="n">
        <v>10</v>
      </c>
      <c r="E104" s="0" t="s">
        <v>917</v>
      </c>
      <c r="F104" s="3" t="n">
        <f aca="false">D104*_xlfn.XLOOKUP(C104,Item_Master!A:A,Item_Master!G:G)</f>
        <v>25900</v>
      </c>
      <c r="G104" s="0" t="str">
        <f aca="false">TEXT(B104,"MMM YYYY")</f>
        <v>Oct 2025</v>
      </c>
    </row>
    <row r="105" customFormat="false" ht="15" hidden="false" customHeight="false" outlineLevel="0" collapsed="false">
      <c r="A105" s="0" t="s">
        <v>918</v>
      </c>
      <c r="B105" s="4" t="n">
        <v>45940</v>
      </c>
      <c r="C105" s="0" t="s">
        <v>688</v>
      </c>
      <c r="D105" s="0" t="n">
        <v>39</v>
      </c>
      <c r="E105" s="0" t="s">
        <v>919</v>
      </c>
      <c r="F105" s="3" t="n">
        <f aca="false">D105*_xlfn.XLOOKUP(C105,Item_Master!A:A,Item_Master!G:G)</f>
        <v>379860</v>
      </c>
      <c r="G105" s="0" t="str">
        <f aca="false">TEXT(B105,"MMM YYYY")</f>
        <v>Oct 2025</v>
      </c>
    </row>
    <row r="106" customFormat="false" ht="15" hidden="false" customHeight="false" outlineLevel="0" collapsed="false">
      <c r="A106" s="0" t="s">
        <v>920</v>
      </c>
      <c r="B106" s="4" t="n">
        <v>45940</v>
      </c>
      <c r="C106" s="0" t="s">
        <v>690</v>
      </c>
      <c r="D106" s="0" t="n">
        <v>28</v>
      </c>
      <c r="E106" s="0" t="s">
        <v>921</v>
      </c>
      <c r="F106" s="3" t="n">
        <f aca="false">D106*_xlfn.XLOOKUP(C106,Item_Master!A:A,Item_Master!G:G)</f>
        <v>22120</v>
      </c>
      <c r="G106" s="0" t="str">
        <f aca="false">TEXT(B106,"MMM YYYY")</f>
        <v>Oct 2025</v>
      </c>
    </row>
    <row r="107" customFormat="false" ht="15" hidden="false" customHeight="false" outlineLevel="0" collapsed="false">
      <c r="A107" s="0" t="s">
        <v>922</v>
      </c>
      <c r="B107" s="4" t="n">
        <v>45941</v>
      </c>
      <c r="C107" s="0" t="s">
        <v>37</v>
      </c>
      <c r="D107" s="0" t="n">
        <v>6</v>
      </c>
      <c r="E107" s="0" t="s">
        <v>923</v>
      </c>
      <c r="F107" s="3" t="n">
        <f aca="false">D107*_xlfn.XLOOKUP(C107,Item_Master!A:A,Item_Master!G:G)</f>
        <v>3240</v>
      </c>
      <c r="G107" s="0" t="str">
        <f aca="false">TEXT(B107,"MMM YYYY")</f>
        <v>Oct 2025</v>
      </c>
    </row>
    <row r="108" customFormat="false" ht="15" hidden="false" customHeight="false" outlineLevel="0" collapsed="false">
      <c r="A108" s="0" t="s">
        <v>924</v>
      </c>
      <c r="B108" s="4" t="n">
        <v>45941</v>
      </c>
      <c r="C108" s="0" t="s">
        <v>61</v>
      </c>
      <c r="D108" s="0" t="n">
        <v>26</v>
      </c>
      <c r="E108" s="0" t="s">
        <v>925</v>
      </c>
      <c r="F108" s="3" t="n">
        <f aca="false">D108*_xlfn.XLOOKUP(C108,Item_Master!A:A,Item_Master!G:G)</f>
        <v>50180</v>
      </c>
      <c r="G108" s="0" t="str">
        <f aca="false">TEXT(B108,"MMM YYYY")</f>
        <v>Oct 2025</v>
      </c>
    </row>
    <row r="109" customFormat="false" ht="15" hidden="false" customHeight="false" outlineLevel="0" collapsed="false">
      <c r="A109" s="0" t="s">
        <v>926</v>
      </c>
      <c r="B109" s="4" t="n">
        <v>45941</v>
      </c>
      <c r="C109" s="0" t="s">
        <v>61</v>
      </c>
      <c r="D109" s="0" t="n">
        <v>1</v>
      </c>
      <c r="E109" s="0" t="s">
        <v>927</v>
      </c>
      <c r="F109" s="3" t="n">
        <f aca="false">D109*_xlfn.XLOOKUP(C109,Item_Master!A:A,Item_Master!G:G)</f>
        <v>1930</v>
      </c>
      <c r="G109" s="0" t="str">
        <f aca="false">TEXT(B109,"MMM YYYY")</f>
        <v>Oct 2025</v>
      </c>
    </row>
    <row r="110" customFormat="false" ht="15" hidden="false" customHeight="false" outlineLevel="0" collapsed="false">
      <c r="A110" s="0" t="s">
        <v>928</v>
      </c>
      <c r="B110" s="4" t="n">
        <v>45941</v>
      </c>
      <c r="C110" s="0" t="s">
        <v>95</v>
      </c>
      <c r="D110" s="0" t="n">
        <v>8</v>
      </c>
      <c r="E110" s="0" t="s">
        <v>929</v>
      </c>
      <c r="F110" s="3" t="n">
        <f aca="false">D110*_xlfn.XLOOKUP(C110,Item_Master!A:A,Item_Master!G:G)</f>
        <v>29120</v>
      </c>
      <c r="G110" s="0" t="str">
        <f aca="false">TEXT(B110,"MMM YYYY")</f>
        <v>Oct 2025</v>
      </c>
    </row>
    <row r="111" customFormat="false" ht="15" hidden="false" customHeight="false" outlineLevel="0" collapsed="false">
      <c r="A111" s="0" t="s">
        <v>930</v>
      </c>
      <c r="B111" s="4" t="n">
        <v>45941</v>
      </c>
      <c r="C111" s="0" t="s">
        <v>302</v>
      </c>
      <c r="D111" s="0" t="n">
        <v>31</v>
      </c>
      <c r="E111" s="0" t="s">
        <v>931</v>
      </c>
      <c r="F111" s="3" t="n">
        <f aca="false">D111*_xlfn.XLOOKUP(C111,Item_Master!A:A,Item_Master!G:G)</f>
        <v>321160</v>
      </c>
      <c r="G111" s="0" t="str">
        <f aca="false">TEXT(B111,"MMM YYYY")</f>
        <v>Oct 2025</v>
      </c>
    </row>
    <row r="112" customFormat="false" ht="15" hidden="false" customHeight="false" outlineLevel="0" collapsed="false">
      <c r="A112" s="0" t="s">
        <v>932</v>
      </c>
      <c r="B112" s="4" t="n">
        <v>45941</v>
      </c>
      <c r="C112" s="0" t="s">
        <v>366</v>
      </c>
      <c r="D112" s="0" t="n">
        <v>19</v>
      </c>
      <c r="E112" s="0" t="s">
        <v>933</v>
      </c>
      <c r="F112" s="3" t="n">
        <f aca="false">D112*_xlfn.XLOOKUP(C112,Item_Master!A:A,Item_Master!G:G)</f>
        <v>51870</v>
      </c>
      <c r="G112" s="0" t="str">
        <f aca="false">TEXT(B112,"MMM YYYY")</f>
        <v>Oct 2025</v>
      </c>
    </row>
    <row r="113" customFormat="false" ht="15" hidden="false" customHeight="false" outlineLevel="0" collapsed="false">
      <c r="A113" s="0" t="s">
        <v>934</v>
      </c>
      <c r="B113" s="4" t="n">
        <v>45941</v>
      </c>
      <c r="C113" s="0" t="s">
        <v>446</v>
      </c>
      <c r="D113" s="0" t="n">
        <v>13</v>
      </c>
      <c r="E113" s="0" t="s">
        <v>935</v>
      </c>
      <c r="F113" s="3" t="n">
        <f aca="false">D113*_xlfn.XLOOKUP(C113,Item_Master!A:A,Item_Master!G:G)</f>
        <v>22750</v>
      </c>
      <c r="G113" s="0" t="str">
        <f aca="false">TEXT(B113,"MMM YYYY")</f>
        <v>Oct 2025</v>
      </c>
    </row>
    <row r="114" customFormat="false" ht="15" hidden="false" customHeight="false" outlineLevel="0" collapsed="false">
      <c r="A114" s="0" t="s">
        <v>936</v>
      </c>
      <c r="B114" s="4" t="n">
        <v>45941</v>
      </c>
      <c r="C114" s="0" t="s">
        <v>473</v>
      </c>
      <c r="D114" s="0" t="n">
        <v>32</v>
      </c>
      <c r="E114" s="0" t="s">
        <v>937</v>
      </c>
      <c r="F114" s="3" t="n">
        <f aca="false">D114*_xlfn.XLOOKUP(C114,Item_Master!A:A,Item_Master!G:G)</f>
        <v>6080</v>
      </c>
      <c r="G114" s="0" t="str">
        <f aca="false">TEXT(B114,"MMM YYYY")</f>
        <v>Oct 2025</v>
      </c>
    </row>
    <row r="115" customFormat="false" ht="15" hidden="false" customHeight="false" outlineLevel="0" collapsed="false">
      <c r="A115" s="0" t="s">
        <v>938</v>
      </c>
      <c r="B115" s="4" t="n">
        <v>45941</v>
      </c>
      <c r="C115" s="0" t="s">
        <v>561</v>
      </c>
      <c r="D115" s="0" t="n">
        <v>15</v>
      </c>
      <c r="E115" s="0" t="s">
        <v>939</v>
      </c>
      <c r="F115" s="3" t="n">
        <f aca="false">D115*_xlfn.XLOOKUP(C115,Item_Master!A:A,Item_Master!G:G)</f>
        <v>27000</v>
      </c>
      <c r="G115" s="0" t="str">
        <f aca="false">TEXT(B115,"MMM YYYY")</f>
        <v>Oct 2025</v>
      </c>
    </row>
    <row r="116" customFormat="false" ht="15" hidden="false" customHeight="false" outlineLevel="0" collapsed="false">
      <c r="A116" s="0" t="s">
        <v>940</v>
      </c>
      <c r="B116" s="4" t="n">
        <v>45941</v>
      </c>
      <c r="C116" s="0" t="s">
        <v>659</v>
      </c>
      <c r="D116" s="0" t="n">
        <v>10</v>
      </c>
      <c r="E116" s="0" t="s">
        <v>941</v>
      </c>
      <c r="F116" s="3" t="n">
        <f aca="false">D116*_xlfn.XLOOKUP(C116,Item_Master!A:A,Item_Master!G:G)</f>
        <v>34700</v>
      </c>
      <c r="G116" s="0" t="str">
        <f aca="false">TEXT(B116,"MMM YYYY")</f>
        <v>Oct 2025</v>
      </c>
    </row>
    <row r="117" customFormat="false" ht="15" hidden="false" customHeight="false" outlineLevel="0" collapsed="false">
      <c r="A117" s="0" t="s">
        <v>942</v>
      </c>
      <c r="B117" s="4" t="n">
        <v>45942</v>
      </c>
      <c r="C117" s="0" t="s">
        <v>92</v>
      </c>
      <c r="D117" s="0" t="n">
        <v>17</v>
      </c>
      <c r="E117" s="0" t="s">
        <v>943</v>
      </c>
      <c r="F117" s="3" t="n">
        <f aca="false">D117*_xlfn.XLOOKUP(C117,Item_Master!A:A,Item_Master!G:G)</f>
        <v>41310</v>
      </c>
      <c r="G117" s="0" t="str">
        <f aca="false">TEXT(B117,"MMM YYYY")</f>
        <v>Oct 2025</v>
      </c>
    </row>
    <row r="118" customFormat="false" ht="15" hidden="false" customHeight="false" outlineLevel="0" collapsed="false">
      <c r="A118" s="0" t="s">
        <v>944</v>
      </c>
      <c r="B118" s="4" t="n">
        <v>45942</v>
      </c>
      <c r="C118" s="0" t="s">
        <v>95</v>
      </c>
      <c r="D118" s="0" t="n">
        <v>20</v>
      </c>
      <c r="E118" s="0" t="s">
        <v>945</v>
      </c>
      <c r="F118" s="3" t="n">
        <f aca="false">D118*_xlfn.XLOOKUP(C118,Item_Master!A:A,Item_Master!G:G)</f>
        <v>72800</v>
      </c>
      <c r="G118" s="0" t="str">
        <f aca="false">TEXT(B118,"MMM YYYY")</f>
        <v>Oct 2025</v>
      </c>
    </row>
    <row r="119" customFormat="false" ht="15" hidden="false" customHeight="false" outlineLevel="0" collapsed="false">
      <c r="A119" s="0" t="s">
        <v>946</v>
      </c>
      <c r="B119" s="4" t="n">
        <v>45942</v>
      </c>
      <c r="C119" s="0" t="s">
        <v>112</v>
      </c>
      <c r="D119" s="0" t="n">
        <v>8</v>
      </c>
      <c r="E119" s="0" t="s">
        <v>947</v>
      </c>
      <c r="F119" s="3" t="n">
        <f aca="false">D119*_xlfn.XLOOKUP(C119,Item_Master!A:A,Item_Master!G:G)</f>
        <v>18400</v>
      </c>
      <c r="G119" s="0" t="str">
        <f aca="false">TEXT(B119,"MMM YYYY")</f>
        <v>Oct 2025</v>
      </c>
    </row>
    <row r="120" customFormat="false" ht="15" hidden="false" customHeight="false" outlineLevel="0" collapsed="false">
      <c r="A120" s="0" t="s">
        <v>948</v>
      </c>
      <c r="B120" s="4" t="n">
        <v>45942</v>
      </c>
      <c r="C120" s="0" t="s">
        <v>139</v>
      </c>
      <c r="D120" s="0" t="n">
        <v>38</v>
      </c>
      <c r="E120" s="0" t="s">
        <v>949</v>
      </c>
      <c r="F120" s="3" t="n">
        <f aca="false">D120*_xlfn.XLOOKUP(C120,Item_Master!A:A,Item_Master!G:G)</f>
        <v>772160</v>
      </c>
      <c r="G120" s="0" t="str">
        <f aca="false">TEXT(B120,"MMM YYYY")</f>
        <v>Oct 2025</v>
      </c>
    </row>
    <row r="121" customFormat="false" ht="15" hidden="false" customHeight="false" outlineLevel="0" collapsed="false">
      <c r="A121" s="0" t="s">
        <v>950</v>
      </c>
      <c r="B121" s="4" t="n">
        <v>45942</v>
      </c>
      <c r="C121" s="0" t="s">
        <v>287</v>
      </c>
      <c r="D121" s="0" t="n">
        <v>3</v>
      </c>
      <c r="E121" s="0" t="s">
        <v>951</v>
      </c>
      <c r="F121" s="3" t="n">
        <f aca="false">D121*_xlfn.XLOOKUP(C121,Item_Master!A:A,Item_Master!G:G)</f>
        <v>31620</v>
      </c>
      <c r="G121" s="0" t="str">
        <f aca="false">TEXT(B121,"MMM YYYY")</f>
        <v>Oct 2025</v>
      </c>
    </row>
    <row r="122" customFormat="false" ht="15" hidden="false" customHeight="false" outlineLevel="0" collapsed="false">
      <c r="A122" s="0" t="s">
        <v>952</v>
      </c>
      <c r="B122" s="4" t="n">
        <v>45942</v>
      </c>
      <c r="C122" s="0" t="s">
        <v>336</v>
      </c>
      <c r="D122" s="0" t="n">
        <v>32</v>
      </c>
      <c r="E122" s="0" t="s">
        <v>953</v>
      </c>
      <c r="F122" s="3" t="n">
        <f aca="false">D122*_xlfn.XLOOKUP(C122,Item_Master!A:A,Item_Master!G:G)</f>
        <v>109120</v>
      </c>
      <c r="G122" s="0" t="str">
        <f aca="false">TEXT(B122,"MMM YYYY")</f>
        <v>Oct 2025</v>
      </c>
    </row>
    <row r="123" customFormat="false" ht="15" hidden="false" customHeight="false" outlineLevel="0" collapsed="false">
      <c r="A123" s="0" t="s">
        <v>954</v>
      </c>
      <c r="B123" s="4" t="n">
        <v>45942</v>
      </c>
      <c r="C123" s="0" t="s">
        <v>343</v>
      </c>
      <c r="D123" s="0" t="n">
        <v>22</v>
      </c>
      <c r="E123" s="0" t="s">
        <v>955</v>
      </c>
      <c r="F123" s="3" t="n">
        <f aca="false">D123*_xlfn.XLOOKUP(C123,Item_Master!A:A,Item_Master!G:G)</f>
        <v>38500</v>
      </c>
      <c r="G123" s="0" t="str">
        <f aca="false">TEXT(B123,"MMM YYYY")</f>
        <v>Oct 2025</v>
      </c>
    </row>
    <row r="124" customFormat="false" ht="15" hidden="false" customHeight="false" outlineLevel="0" collapsed="false">
      <c r="A124" s="0" t="s">
        <v>956</v>
      </c>
      <c r="B124" s="4" t="n">
        <v>45942</v>
      </c>
      <c r="C124" s="0" t="s">
        <v>415</v>
      </c>
      <c r="D124" s="0" t="n">
        <v>14</v>
      </c>
      <c r="E124" s="0" t="s">
        <v>957</v>
      </c>
      <c r="F124" s="3" t="n">
        <f aca="false">D124*_xlfn.XLOOKUP(C124,Item_Master!A:A,Item_Master!G:G)</f>
        <v>18620</v>
      </c>
      <c r="G124" s="0" t="str">
        <f aca="false">TEXT(B124,"MMM YYYY")</f>
        <v>Oct 2025</v>
      </c>
    </row>
    <row r="125" customFormat="false" ht="15" hidden="false" customHeight="false" outlineLevel="0" collapsed="false">
      <c r="A125" s="0" t="s">
        <v>958</v>
      </c>
      <c r="B125" s="4" t="n">
        <v>45942</v>
      </c>
      <c r="C125" s="0" t="s">
        <v>446</v>
      </c>
      <c r="D125" s="0" t="n">
        <v>2</v>
      </c>
      <c r="E125" s="0" t="s">
        <v>959</v>
      </c>
      <c r="F125" s="3" t="n">
        <f aca="false">D125*_xlfn.XLOOKUP(C125,Item_Master!A:A,Item_Master!G:G)</f>
        <v>3500</v>
      </c>
      <c r="G125" s="0" t="str">
        <f aca="false">TEXT(B125,"MMM YYYY")</f>
        <v>Oct 2025</v>
      </c>
    </row>
    <row r="126" customFormat="false" ht="15" hidden="false" customHeight="false" outlineLevel="0" collapsed="false">
      <c r="A126" s="0" t="s">
        <v>960</v>
      </c>
      <c r="B126" s="4" t="n">
        <v>45942</v>
      </c>
      <c r="C126" s="0" t="s">
        <v>457</v>
      </c>
      <c r="D126" s="0" t="n">
        <v>29</v>
      </c>
      <c r="E126" s="0" t="s">
        <v>961</v>
      </c>
      <c r="F126" s="3" t="n">
        <f aca="false">D126*_xlfn.XLOOKUP(C126,Item_Master!A:A,Item_Master!G:G)</f>
        <v>17690</v>
      </c>
      <c r="G126" s="0" t="str">
        <f aca="false">TEXT(B126,"MMM YYYY")</f>
        <v>Oct 2025</v>
      </c>
    </row>
    <row r="127" customFormat="false" ht="15" hidden="false" customHeight="false" outlineLevel="0" collapsed="false">
      <c r="A127" s="0" t="s">
        <v>962</v>
      </c>
      <c r="B127" s="4" t="n">
        <v>45942</v>
      </c>
      <c r="C127" s="0" t="s">
        <v>486</v>
      </c>
      <c r="D127" s="0" t="n">
        <v>19</v>
      </c>
      <c r="E127" s="0" t="s">
        <v>963</v>
      </c>
      <c r="F127" s="3" t="n">
        <f aca="false">D127*_xlfn.XLOOKUP(C127,Item_Master!A:A,Item_Master!G:G)</f>
        <v>32300</v>
      </c>
      <c r="G127" s="0" t="str">
        <f aca="false">TEXT(B127,"MMM YYYY")</f>
        <v>Oct 2025</v>
      </c>
    </row>
    <row r="128" customFormat="false" ht="15" hidden="false" customHeight="false" outlineLevel="0" collapsed="false">
      <c r="A128" s="0" t="s">
        <v>964</v>
      </c>
      <c r="B128" s="4" t="n">
        <v>45942</v>
      </c>
      <c r="C128" s="0" t="s">
        <v>677</v>
      </c>
      <c r="D128" s="0" t="n">
        <v>18</v>
      </c>
      <c r="E128" s="0" t="s">
        <v>965</v>
      </c>
      <c r="F128" s="3" t="n">
        <f aca="false">D128*_xlfn.XLOOKUP(C128,Item_Master!A:A,Item_Master!G:G)</f>
        <v>14040</v>
      </c>
      <c r="G128" s="0" t="str">
        <f aca="false">TEXT(B128,"MMM YYYY")</f>
        <v>Oct 2025</v>
      </c>
    </row>
    <row r="129" customFormat="false" ht="15" hidden="false" customHeight="false" outlineLevel="0" collapsed="false">
      <c r="A129" s="0" t="s">
        <v>966</v>
      </c>
      <c r="B129" s="4" t="n">
        <v>45942</v>
      </c>
      <c r="C129" s="0" t="s">
        <v>690</v>
      </c>
      <c r="D129" s="0" t="n">
        <v>3</v>
      </c>
      <c r="E129" s="0" t="s">
        <v>967</v>
      </c>
      <c r="F129" s="3" t="n">
        <f aca="false">D129*_xlfn.XLOOKUP(C129,Item_Master!A:A,Item_Master!G:G)</f>
        <v>2370</v>
      </c>
      <c r="G129" s="0" t="str">
        <f aca="false">TEXT(B129,"MMM YYYY")</f>
        <v>Oct 2025</v>
      </c>
    </row>
    <row r="130" customFormat="false" ht="15" hidden="false" customHeight="false" outlineLevel="0" collapsed="false">
      <c r="A130" s="0" t="s">
        <v>968</v>
      </c>
      <c r="B130" s="4" t="n">
        <v>45943</v>
      </c>
      <c r="C130" s="0" t="s">
        <v>172</v>
      </c>
      <c r="D130" s="0" t="n">
        <v>29</v>
      </c>
      <c r="E130" s="0" t="s">
        <v>969</v>
      </c>
      <c r="F130" s="3" t="n">
        <f aca="false">D130*_xlfn.XLOOKUP(C130,Item_Master!A:A,Item_Master!G:G)</f>
        <v>95700</v>
      </c>
      <c r="G130" s="0" t="str">
        <f aca="false">TEXT(B130,"MMM YYYY")</f>
        <v>Oct 2025</v>
      </c>
    </row>
    <row r="131" customFormat="false" ht="15" hidden="false" customHeight="false" outlineLevel="0" collapsed="false">
      <c r="A131" s="0" t="s">
        <v>970</v>
      </c>
      <c r="B131" s="4" t="n">
        <v>45943</v>
      </c>
      <c r="C131" s="0" t="s">
        <v>232</v>
      </c>
      <c r="D131" s="0" t="n">
        <v>5</v>
      </c>
      <c r="E131" s="0" t="s">
        <v>971</v>
      </c>
      <c r="F131" s="3" t="n">
        <f aca="false">D131*_xlfn.XLOOKUP(C131,Item_Master!A:A,Item_Master!G:G)</f>
        <v>17100</v>
      </c>
      <c r="G131" s="0" t="str">
        <f aca="false">TEXT(B131,"MMM YYYY")</f>
        <v>Oct 2025</v>
      </c>
    </row>
    <row r="132" customFormat="false" ht="15" hidden="false" customHeight="false" outlineLevel="0" collapsed="false">
      <c r="A132" s="0" t="s">
        <v>972</v>
      </c>
      <c r="B132" s="4" t="n">
        <v>45943</v>
      </c>
      <c r="C132" s="0" t="s">
        <v>322</v>
      </c>
      <c r="D132" s="0" t="n">
        <v>16</v>
      </c>
      <c r="E132" s="0" t="s">
        <v>973</v>
      </c>
      <c r="F132" s="3" t="n">
        <f aca="false">D132*_xlfn.XLOOKUP(C132,Item_Master!A:A,Item_Master!G:G)</f>
        <v>35040</v>
      </c>
      <c r="G132" s="0" t="str">
        <f aca="false">TEXT(B132,"MMM YYYY")</f>
        <v>Oct 2025</v>
      </c>
    </row>
    <row r="133" customFormat="false" ht="15" hidden="false" customHeight="false" outlineLevel="0" collapsed="false">
      <c r="A133" s="0" t="s">
        <v>974</v>
      </c>
      <c r="B133" s="4" t="n">
        <v>45943</v>
      </c>
      <c r="C133" s="0" t="s">
        <v>341</v>
      </c>
      <c r="D133" s="0" t="n">
        <v>25</v>
      </c>
      <c r="E133" s="0" t="s">
        <v>975</v>
      </c>
      <c r="F133" s="3" t="n">
        <f aca="false">D133*_xlfn.XLOOKUP(C133,Item_Master!A:A,Item_Master!G:G)</f>
        <v>17500</v>
      </c>
      <c r="G133" s="0" t="str">
        <f aca="false">TEXT(B133,"MMM YYYY")</f>
        <v>Oct 2025</v>
      </c>
    </row>
    <row r="134" customFormat="false" ht="15" hidden="false" customHeight="false" outlineLevel="0" collapsed="false">
      <c r="A134" s="0" t="s">
        <v>976</v>
      </c>
      <c r="B134" s="4" t="n">
        <v>45943</v>
      </c>
      <c r="C134" s="0" t="s">
        <v>355</v>
      </c>
      <c r="D134" s="0" t="n">
        <v>1</v>
      </c>
      <c r="E134" s="0" t="s">
        <v>977</v>
      </c>
      <c r="F134" s="3" t="n">
        <f aca="false">D134*_xlfn.XLOOKUP(C134,Item_Master!A:A,Item_Master!G:G)</f>
        <v>990</v>
      </c>
      <c r="G134" s="0" t="str">
        <f aca="false">TEXT(B134,"MMM YYYY")</f>
        <v>Oct 2025</v>
      </c>
    </row>
    <row r="135" customFormat="false" ht="15" hidden="false" customHeight="false" outlineLevel="0" collapsed="false">
      <c r="A135" s="0" t="s">
        <v>978</v>
      </c>
      <c r="B135" s="4" t="n">
        <v>45943</v>
      </c>
      <c r="C135" s="0" t="s">
        <v>515</v>
      </c>
      <c r="D135" s="0" t="n">
        <v>15</v>
      </c>
      <c r="E135" s="0" t="s">
        <v>979</v>
      </c>
      <c r="F135" s="3" t="n">
        <f aca="false">D135*_xlfn.XLOOKUP(C135,Item_Master!A:A,Item_Master!G:G)</f>
        <v>14100</v>
      </c>
      <c r="G135" s="0" t="str">
        <f aca="false">TEXT(B135,"MMM YYYY")</f>
        <v>Oct 2025</v>
      </c>
    </row>
    <row r="136" customFormat="false" ht="15" hidden="false" customHeight="false" outlineLevel="0" collapsed="false">
      <c r="A136" s="0" t="s">
        <v>980</v>
      </c>
      <c r="B136" s="4" t="n">
        <v>45943</v>
      </c>
      <c r="C136" s="0" t="s">
        <v>651</v>
      </c>
      <c r="D136" s="0" t="n">
        <v>4</v>
      </c>
      <c r="E136" s="0" t="s">
        <v>981</v>
      </c>
      <c r="F136" s="3" t="n">
        <f aca="false">D136*_xlfn.XLOOKUP(C136,Item_Master!A:A,Item_Master!G:G)</f>
        <v>3680</v>
      </c>
      <c r="G136" s="0" t="str">
        <f aca="false">TEXT(B136,"MMM YYYY")</f>
        <v>Oct 2025</v>
      </c>
    </row>
    <row r="137" customFormat="false" ht="15" hidden="false" customHeight="false" outlineLevel="0" collapsed="false">
      <c r="A137" s="0" t="s">
        <v>982</v>
      </c>
      <c r="B137" s="4" t="n">
        <v>45943</v>
      </c>
      <c r="C137" s="0" t="s">
        <v>651</v>
      </c>
      <c r="D137" s="0" t="n">
        <v>8</v>
      </c>
      <c r="E137" s="0" t="s">
        <v>983</v>
      </c>
      <c r="F137" s="3" t="n">
        <f aca="false">D137*_xlfn.XLOOKUP(C137,Item_Master!A:A,Item_Master!G:G)</f>
        <v>7360</v>
      </c>
      <c r="G137" s="0" t="str">
        <f aca="false">TEXT(B137,"MMM YYYY")</f>
        <v>Oct 2025</v>
      </c>
    </row>
    <row r="138" customFormat="false" ht="15" hidden="false" customHeight="false" outlineLevel="0" collapsed="false">
      <c r="A138" s="0" t="s">
        <v>984</v>
      </c>
      <c r="B138" s="4" t="n">
        <v>45943</v>
      </c>
      <c r="C138" s="0" t="s">
        <v>656</v>
      </c>
      <c r="D138" s="0" t="n">
        <v>3</v>
      </c>
      <c r="E138" s="0" t="s">
        <v>985</v>
      </c>
      <c r="F138" s="3" t="n">
        <f aca="false">D138*_xlfn.XLOOKUP(C138,Item_Master!A:A,Item_Master!G:G)</f>
        <v>4110</v>
      </c>
      <c r="G138" s="0" t="str">
        <f aca="false">TEXT(B138,"MMM YYYY")</f>
        <v>Oct 2025</v>
      </c>
    </row>
    <row r="139" customFormat="false" ht="15" hidden="false" customHeight="false" outlineLevel="0" collapsed="false">
      <c r="A139" s="0" t="s">
        <v>986</v>
      </c>
      <c r="B139" s="4" t="n">
        <v>45943</v>
      </c>
      <c r="C139" s="0" t="s">
        <v>667</v>
      </c>
      <c r="D139" s="0" t="n">
        <v>4</v>
      </c>
      <c r="E139" s="0" t="s">
        <v>987</v>
      </c>
      <c r="F139" s="3" t="n">
        <f aca="false">D139*_xlfn.XLOOKUP(C139,Item_Master!A:A,Item_Master!G:G)</f>
        <v>8200</v>
      </c>
      <c r="G139" s="0" t="str">
        <f aca="false">TEXT(B139,"MMM YYYY")</f>
        <v>Oct 2025</v>
      </c>
    </row>
    <row r="140" customFormat="false" ht="15" hidden="false" customHeight="false" outlineLevel="0" collapsed="false">
      <c r="A140" s="0" t="s">
        <v>988</v>
      </c>
      <c r="B140" s="4" t="n">
        <v>45943</v>
      </c>
      <c r="C140" s="0" t="s">
        <v>677</v>
      </c>
      <c r="D140" s="0" t="n">
        <v>4</v>
      </c>
      <c r="E140" s="0" t="s">
        <v>989</v>
      </c>
      <c r="F140" s="3" t="n">
        <f aca="false">D140*_xlfn.XLOOKUP(C140,Item_Master!A:A,Item_Master!G:G)</f>
        <v>3120</v>
      </c>
      <c r="G140" s="0" t="str">
        <f aca="false">TEXT(B140,"MMM YYYY")</f>
        <v>Oct 2025</v>
      </c>
    </row>
    <row r="141" customFormat="false" ht="15" hidden="false" customHeight="false" outlineLevel="0" collapsed="false">
      <c r="A141" s="0" t="s">
        <v>990</v>
      </c>
      <c r="B141" s="4" t="n">
        <v>45944</v>
      </c>
      <c r="C141" s="0" t="s">
        <v>47</v>
      </c>
      <c r="D141" s="0" t="n">
        <v>24</v>
      </c>
      <c r="E141" s="0" t="s">
        <v>991</v>
      </c>
      <c r="F141" s="3" t="n">
        <f aca="false">D141*_xlfn.XLOOKUP(C141,Item_Master!A:A,Item_Master!G:G)</f>
        <v>7200</v>
      </c>
      <c r="G141" s="0" t="str">
        <f aca="false">TEXT(B141,"MMM YYYY")</f>
        <v>Oct 2025</v>
      </c>
    </row>
    <row r="142" customFormat="false" ht="15" hidden="false" customHeight="false" outlineLevel="0" collapsed="false">
      <c r="A142" s="0" t="s">
        <v>992</v>
      </c>
      <c r="B142" s="4" t="n">
        <v>45944</v>
      </c>
      <c r="C142" s="0" t="s">
        <v>183</v>
      </c>
      <c r="D142" s="0" t="n">
        <v>30</v>
      </c>
      <c r="E142" s="0" t="s">
        <v>993</v>
      </c>
      <c r="F142" s="3" t="n">
        <f aca="false">D142*_xlfn.XLOOKUP(C142,Item_Master!A:A,Item_Master!G:G)</f>
        <v>64800</v>
      </c>
      <c r="G142" s="0" t="str">
        <f aca="false">TEXT(B142,"MMM YYYY")</f>
        <v>Oct 2025</v>
      </c>
    </row>
    <row r="143" customFormat="false" ht="15" hidden="false" customHeight="false" outlineLevel="0" collapsed="false">
      <c r="A143" s="0" t="s">
        <v>994</v>
      </c>
      <c r="B143" s="4" t="n">
        <v>45944</v>
      </c>
      <c r="C143" s="0" t="s">
        <v>191</v>
      </c>
      <c r="D143" s="0" t="n">
        <v>39</v>
      </c>
      <c r="E143" s="0" t="s">
        <v>995</v>
      </c>
      <c r="F143" s="3" t="n">
        <f aca="false">D143*_xlfn.XLOOKUP(C143,Item_Master!A:A,Item_Master!G:G)</f>
        <v>447720</v>
      </c>
      <c r="G143" s="0" t="str">
        <f aca="false">TEXT(B143,"MMM YYYY")</f>
        <v>Oct 2025</v>
      </c>
    </row>
    <row r="144" customFormat="false" ht="15" hidden="false" customHeight="false" outlineLevel="0" collapsed="false">
      <c r="A144" s="0" t="s">
        <v>996</v>
      </c>
      <c r="B144" s="4" t="n">
        <v>45944</v>
      </c>
      <c r="C144" s="0" t="s">
        <v>361</v>
      </c>
      <c r="D144" s="0" t="n">
        <v>30</v>
      </c>
      <c r="E144" s="0" t="s">
        <v>997</v>
      </c>
      <c r="F144" s="3" t="n">
        <f aca="false">D144*_xlfn.XLOOKUP(C144,Item_Master!A:A,Item_Master!G:G)</f>
        <v>75000</v>
      </c>
      <c r="G144" s="0" t="str">
        <f aca="false">TEXT(B144,"MMM YYYY")</f>
        <v>Oct 2025</v>
      </c>
    </row>
    <row r="145" customFormat="false" ht="15" hidden="false" customHeight="false" outlineLevel="0" collapsed="false">
      <c r="A145" s="0" t="s">
        <v>998</v>
      </c>
      <c r="B145" s="4" t="n">
        <v>45944</v>
      </c>
      <c r="C145" s="0" t="s">
        <v>396</v>
      </c>
      <c r="D145" s="0" t="n">
        <v>4</v>
      </c>
      <c r="E145" s="0" t="s">
        <v>999</v>
      </c>
      <c r="F145" s="3" t="n">
        <f aca="false">D145*_xlfn.XLOOKUP(C145,Item_Master!A:A,Item_Master!G:G)</f>
        <v>10560</v>
      </c>
      <c r="G145" s="0" t="str">
        <f aca="false">TEXT(B145,"MMM YYYY")</f>
        <v>Oct 2025</v>
      </c>
    </row>
    <row r="146" customFormat="false" ht="15" hidden="false" customHeight="false" outlineLevel="0" collapsed="false">
      <c r="A146" s="0" t="s">
        <v>1000</v>
      </c>
      <c r="B146" s="4" t="n">
        <v>45944</v>
      </c>
      <c r="C146" s="0" t="s">
        <v>416</v>
      </c>
      <c r="D146" s="0" t="n">
        <v>1</v>
      </c>
      <c r="E146" s="0" t="s">
        <v>1001</v>
      </c>
      <c r="F146" s="3" t="n">
        <f aca="false">D146*_xlfn.XLOOKUP(C146,Item_Master!A:A,Item_Master!G:G)</f>
        <v>1550</v>
      </c>
      <c r="G146" s="0" t="str">
        <f aca="false">TEXT(B146,"MMM YYYY")</f>
        <v>Oct 2025</v>
      </c>
    </row>
    <row r="147" customFormat="false" ht="15" hidden="false" customHeight="false" outlineLevel="0" collapsed="false">
      <c r="A147" s="0" t="s">
        <v>1002</v>
      </c>
      <c r="B147" s="4" t="n">
        <v>45944</v>
      </c>
      <c r="C147" s="0" t="s">
        <v>422</v>
      </c>
      <c r="D147" s="0" t="n">
        <v>2</v>
      </c>
      <c r="E147" s="0" t="s">
        <v>1003</v>
      </c>
      <c r="F147" s="3" t="n">
        <f aca="false">D147*_xlfn.XLOOKUP(C147,Item_Master!A:A,Item_Master!G:G)</f>
        <v>48300</v>
      </c>
      <c r="G147" s="0" t="str">
        <f aca="false">TEXT(B147,"MMM YYYY")</f>
        <v>Oct 2025</v>
      </c>
    </row>
    <row r="148" customFormat="false" ht="15" hidden="false" customHeight="false" outlineLevel="0" collapsed="false">
      <c r="A148" s="0" t="s">
        <v>1004</v>
      </c>
      <c r="B148" s="4" t="n">
        <v>45944</v>
      </c>
      <c r="C148" s="0" t="s">
        <v>434</v>
      </c>
      <c r="D148" s="0" t="n">
        <v>5</v>
      </c>
      <c r="E148" s="0" t="s">
        <v>1005</v>
      </c>
      <c r="F148" s="3" t="n">
        <f aca="false">D148*_xlfn.XLOOKUP(C148,Item_Master!A:A,Item_Master!G:G)</f>
        <v>1850</v>
      </c>
      <c r="G148" s="0" t="str">
        <f aca="false">TEXT(B148,"MMM YYYY")</f>
        <v>Oct 2025</v>
      </c>
    </row>
    <row r="149" customFormat="false" ht="15" hidden="false" customHeight="false" outlineLevel="0" collapsed="false">
      <c r="A149" s="0" t="s">
        <v>1006</v>
      </c>
      <c r="B149" s="4" t="n">
        <v>45944</v>
      </c>
      <c r="C149" s="0" t="s">
        <v>450</v>
      </c>
      <c r="D149" s="0" t="n">
        <v>5</v>
      </c>
      <c r="E149" s="0" t="s">
        <v>1007</v>
      </c>
      <c r="F149" s="3" t="n">
        <f aca="false">D149*_xlfn.XLOOKUP(C149,Item_Master!A:A,Item_Master!G:G)</f>
        <v>4250</v>
      </c>
      <c r="G149" s="0" t="str">
        <f aca="false">TEXT(B149,"MMM YYYY")</f>
        <v>Oct 2025</v>
      </c>
    </row>
    <row r="150" customFormat="false" ht="15" hidden="false" customHeight="false" outlineLevel="0" collapsed="false">
      <c r="A150" s="0" t="s">
        <v>1008</v>
      </c>
      <c r="B150" s="4" t="n">
        <v>45944</v>
      </c>
      <c r="C150" s="0" t="s">
        <v>579</v>
      </c>
      <c r="D150" s="0" t="n">
        <v>4</v>
      </c>
      <c r="E150" s="0" t="s">
        <v>1009</v>
      </c>
      <c r="F150" s="3" t="n">
        <f aca="false">D150*_xlfn.XLOOKUP(C150,Item_Master!A:A,Item_Master!G:G)</f>
        <v>7520</v>
      </c>
      <c r="G150" s="0" t="str">
        <f aca="false">TEXT(B150,"MMM YYYY")</f>
        <v>Oct 2025</v>
      </c>
    </row>
    <row r="151" customFormat="false" ht="15" hidden="false" customHeight="false" outlineLevel="0" collapsed="false">
      <c r="A151" s="0" t="s">
        <v>1010</v>
      </c>
      <c r="B151" s="4" t="n">
        <v>45944</v>
      </c>
      <c r="C151" s="0" t="s">
        <v>599</v>
      </c>
      <c r="D151" s="0" t="n">
        <v>14</v>
      </c>
      <c r="E151" s="0" t="s">
        <v>1011</v>
      </c>
      <c r="F151" s="3" t="n">
        <f aca="false">D151*_xlfn.XLOOKUP(C151,Item_Master!A:A,Item_Master!G:G)</f>
        <v>13300</v>
      </c>
      <c r="G151" s="0" t="str">
        <f aca="false">TEXT(B151,"MMM YYYY")</f>
        <v>Oct 2025</v>
      </c>
    </row>
    <row r="152" customFormat="false" ht="15" hidden="false" customHeight="false" outlineLevel="0" collapsed="false">
      <c r="A152" s="0" t="s">
        <v>1012</v>
      </c>
      <c r="B152" s="4" t="n">
        <v>45945</v>
      </c>
      <c r="C152" s="0" t="s">
        <v>178</v>
      </c>
      <c r="D152" s="0" t="n">
        <v>21</v>
      </c>
      <c r="E152" s="0" t="s">
        <v>1013</v>
      </c>
      <c r="F152" s="3" t="n">
        <f aca="false">D152*_xlfn.XLOOKUP(C152,Item_Master!A:A,Item_Master!G:G)</f>
        <v>27510</v>
      </c>
      <c r="G152" s="0" t="str">
        <f aca="false">TEXT(B152,"MMM YYYY")</f>
        <v>Oct 2025</v>
      </c>
    </row>
    <row r="153" customFormat="false" ht="15" hidden="false" customHeight="false" outlineLevel="0" collapsed="false">
      <c r="A153" s="0" t="s">
        <v>1014</v>
      </c>
      <c r="B153" s="4" t="n">
        <v>45945</v>
      </c>
      <c r="C153" s="0" t="s">
        <v>215</v>
      </c>
      <c r="D153" s="0" t="n">
        <v>12</v>
      </c>
      <c r="E153" s="0" t="s">
        <v>1015</v>
      </c>
      <c r="F153" s="3" t="n">
        <f aca="false">D153*_xlfn.XLOOKUP(C153,Item_Master!A:A,Item_Master!G:G)</f>
        <v>6720</v>
      </c>
      <c r="G153" s="0" t="str">
        <f aca="false">TEXT(B153,"MMM YYYY")</f>
        <v>Oct 2025</v>
      </c>
    </row>
    <row r="154" customFormat="false" ht="15" hidden="false" customHeight="false" outlineLevel="0" collapsed="false">
      <c r="A154" s="0" t="s">
        <v>1016</v>
      </c>
      <c r="B154" s="4" t="n">
        <v>45945</v>
      </c>
      <c r="C154" s="0" t="s">
        <v>300</v>
      </c>
      <c r="D154" s="0" t="n">
        <v>34</v>
      </c>
      <c r="E154" s="0" t="s">
        <v>1017</v>
      </c>
      <c r="F154" s="3" t="n">
        <f aca="false">D154*_xlfn.XLOOKUP(C154,Item_Master!A:A,Item_Master!G:G)</f>
        <v>86700</v>
      </c>
      <c r="G154" s="0" t="str">
        <f aca="false">TEXT(B154,"MMM YYYY")</f>
        <v>Oct 2025</v>
      </c>
    </row>
    <row r="155" customFormat="false" ht="15" hidden="false" customHeight="false" outlineLevel="0" collapsed="false">
      <c r="A155" s="0" t="s">
        <v>1018</v>
      </c>
      <c r="B155" s="4" t="n">
        <v>45945</v>
      </c>
      <c r="C155" s="0" t="s">
        <v>380</v>
      </c>
      <c r="D155" s="0" t="n">
        <v>6</v>
      </c>
      <c r="E155" s="0" t="s">
        <v>1019</v>
      </c>
      <c r="F155" s="3" t="n">
        <f aca="false">D155*_xlfn.XLOOKUP(C155,Item_Master!A:A,Item_Master!G:G)</f>
        <v>19020</v>
      </c>
      <c r="G155" s="0" t="str">
        <f aca="false">TEXT(B155,"MMM YYYY")</f>
        <v>Oct 2025</v>
      </c>
    </row>
    <row r="156" customFormat="false" ht="15" hidden="false" customHeight="false" outlineLevel="0" collapsed="false">
      <c r="A156" s="0" t="s">
        <v>1020</v>
      </c>
      <c r="B156" s="4" t="n">
        <v>45945</v>
      </c>
      <c r="C156" s="0" t="s">
        <v>392</v>
      </c>
      <c r="D156" s="0" t="n">
        <v>21</v>
      </c>
      <c r="E156" s="0" t="s">
        <v>1021</v>
      </c>
      <c r="F156" s="3" t="n">
        <f aca="false">D156*_xlfn.XLOOKUP(C156,Item_Master!A:A,Item_Master!G:G)</f>
        <v>13230</v>
      </c>
      <c r="G156" s="0" t="str">
        <f aca="false">TEXT(B156,"MMM YYYY")</f>
        <v>Oct 2025</v>
      </c>
    </row>
    <row r="157" customFormat="false" ht="15" hidden="false" customHeight="false" outlineLevel="0" collapsed="false">
      <c r="A157" s="0" t="s">
        <v>1022</v>
      </c>
      <c r="B157" s="4" t="n">
        <v>45945</v>
      </c>
      <c r="C157" s="0" t="s">
        <v>417</v>
      </c>
      <c r="D157" s="0" t="n">
        <v>6</v>
      </c>
      <c r="E157" s="0" t="s">
        <v>1023</v>
      </c>
      <c r="F157" s="3" t="n">
        <f aca="false">D157*_xlfn.XLOOKUP(C157,Item_Master!A:A,Item_Master!G:G)</f>
        <v>12840</v>
      </c>
      <c r="G157" s="0" t="str">
        <f aca="false">TEXT(B157,"MMM YYYY")</f>
        <v>Oct 2025</v>
      </c>
    </row>
    <row r="158" customFormat="false" ht="15" hidden="false" customHeight="false" outlineLevel="0" collapsed="false">
      <c r="A158" s="0" t="s">
        <v>1024</v>
      </c>
      <c r="B158" s="4" t="n">
        <v>45945</v>
      </c>
      <c r="C158" s="0" t="s">
        <v>434</v>
      </c>
      <c r="D158" s="0" t="n">
        <v>17</v>
      </c>
      <c r="E158" s="0" t="s">
        <v>1025</v>
      </c>
      <c r="F158" s="3" t="n">
        <f aca="false">D158*_xlfn.XLOOKUP(C158,Item_Master!A:A,Item_Master!G:G)</f>
        <v>6290</v>
      </c>
      <c r="G158" s="0" t="str">
        <f aca="false">TEXT(B158,"MMM YYYY")</f>
        <v>Oct 2025</v>
      </c>
    </row>
    <row r="159" customFormat="false" ht="15" hidden="false" customHeight="false" outlineLevel="0" collapsed="false">
      <c r="A159" s="0" t="s">
        <v>1026</v>
      </c>
      <c r="B159" s="4" t="n">
        <v>45945</v>
      </c>
      <c r="C159" s="0" t="s">
        <v>486</v>
      </c>
      <c r="D159" s="0" t="n">
        <v>22</v>
      </c>
      <c r="E159" s="0" t="s">
        <v>1027</v>
      </c>
      <c r="F159" s="3" t="n">
        <f aca="false">D159*_xlfn.XLOOKUP(C159,Item_Master!A:A,Item_Master!G:G)</f>
        <v>37400</v>
      </c>
      <c r="G159" s="0" t="str">
        <f aca="false">TEXT(B159,"MMM YYYY")</f>
        <v>Oct 2025</v>
      </c>
    </row>
    <row r="160" customFormat="false" ht="15" hidden="false" customHeight="false" outlineLevel="0" collapsed="false">
      <c r="A160" s="0" t="s">
        <v>1028</v>
      </c>
      <c r="B160" s="4" t="n">
        <v>45945</v>
      </c>
      <c r="C160" s="0" t="s">
        <v>555</v>
      </c>
      <c r="D160" s="0" t="n">
        <v>32</v>
      </c>
      <c r="E160" s="0" t="s">
        <v>1029</v>
      </c>
      <c r="F160" s="3" t="n">
        <f aca="false">D160*_xlfn.XLOOKUP(C160,Item_Master!A:A,Item_Master!G:G)</f>
        <v>75840</v>
      </c>
      <c r="G160" s="0" t="str">
        <f aca="false">TEXT(B160,"MMM YYYY")</f>
        <v>Oct 2025</v>
      </c>
    </row>
    <row r="161" customFormat="false" ht="15" hidden="false" customHeight="false" outlineLevel="0" collapsed="false">
      <c r="A161" s="0" t="s">
        <v>1030</v>
      </c>
      <c r="B161" s="4" t="n">
        <v>45945</v>
      </c>
      <c r="C161" s="0" t="s">
        <v>610</v>
      </c>
      <c r="D161" s="0" t="n">
        <v>19</v>
      </c>
      <c r="E161" s="0" t="s">
        <v>1031</v>
      </c>
      <c r="F161" s="3" t="n">
        <f aca="false">D161*_xlfn.XLOOKUP(C161,Item_Master!A:A,Item_Master!G:G)</f>
        <v>43320</v>
      </c>
      <c r="G161" s="0" t="str">
        <f aca="false">TEXT(B161,"MMM YYYY")</f>
        <v>Oct 2025</v>
      </c>
    </row>
    <row r="162" customFormat="false" ht="15" hidden="false" customHeight="false" outlineLevel="0" collapsed="false">
      <c r="A162" s="0" t="s">
        <v>1032</v>
      </c>
      <c r="B162" s="4" t="n">
        <v>45945</v>
      </c>
      <c r="C162" s="0" t="s">
        <v>702</v>
      </c>
      <c r="D162" s="0" t="n">
        <v>17</v>
      </c>
      <c r="E162" s="0" t="s">
        <v>1033</v>
      </c>
      <c r="F162" s="3" t="n">
        <f aca="false">D162*_xlfn.XLOOKUP(C162,Item_Master!A:A,Item_Master!G:G)</f>
        <v>39270</v>
      </c>
      <c r="G162" s="0" t="str">
        <f aca="false">TEXT(B162,"MMM YYYY")</f>
        <v>Oct 2025</v>
      </c>
    </row>
    <row r="163" customFormat="false" ht="15" hidden="false" customHeight="false" outlineLevel="0" collapsed="false">
      <c r="A163" s="0" t="s">
        <v>1034</v>
      </c>
      <c r="B163" s="4" t="n">
        <v>45946</v>
      </c>
      <c r="C163" s="0" t="s">
        <v>8</v>
      </c>
      <c r="D163" s="0" t="n">
        <v>34</v>
      </c>
      <c r="E163" s="0" t="s">
        <v>1035</v>
      </c>
      <c r="F163" s="3" t="n">
        <f aca="false">D163*_xlfn.XLOOKUP(C163,Item_Master!A:A,Item_Master!G:G)</f>
        <v>73440</v>
      </c>
      <c r="G163" s="0" t="str">
        <f aca="false">TEXT(B163,"MMM YYYY")</f>
        <v>Oct 2025</v>
      </c>
    </row>
    <row r="164" customFormat="false" ht="15" hidden="false" customHeight="false" outlineLevel="0" collapsed="false">
      <c r="A164" s="0" t="s">
        <v>1036</v>
      </c>
      <c r="B164" s="4" t="n">
        <v>45946</v>
      </c>
      <c r="C164" s="0" t="s">
        <v>81</v>
      </c>
      <c r="D164" s="0" t="n">
        <v>39</v>
      </c>
      <c r="E164" s="0" t="s">
        <v>1037</v>
      </c>
      <c r="F164" s="3" t="n">
        <f aca="false">D164*_xlfn.XLOOKUP(C164,Item_Master!A:A,Item_Master!G:G)</f>
        <v>109980</v>
      </c>
      <c r="G164" s="0" t="str">
        <f aca="false">TEXT(B164,"MMM YYYY")</f>
        <v>Oct 2025</v>
      </c>
    </row>
    <row r="165" customFormat="false" ht="15" hidden="false" customHeight="false" outlineLevel="0" collapsed="false">
      <c r="A165" s="0" t="s">
        <v>1038</v>
      </c>
      <c r="B165" s="4" t="n">
        <v>45946</v>
      </c>
      <c r="C165" s="0" t="s">
        <v>195</v>
      </c>
      <c r="D165" s="0" t="n">
        <v>32</v>
      </c>
      <c r="E165" s="0" t="s">
        <v>1039</v>
      </c>
      <c r="F165" s="3" t="n">
        <f aca="false">D165*_xlfn.XLOOKUP(C165,Item_Master!A:A,Item_Master!G:G)</f>
        <v>47040</v>
      </c>
      <c r="G165" s="0" t="str">
        <f aca="false">TEXT(B165,"MMM YYYY")</f>
        <v>Oct 2025</v>
      </c>
    </row>
    <row r="166" customFormat="false" ht="15" hidden="false" customHeight="false" outlineLevel="0" collapsed="false">
      <c r="A166" s="0" t="s">
        <v>1040</v>
      </c>
      <c r="B166" s="4" t="n">
        <v>45946</v>
      </c>
      <c r="C166" s="0" t="s">
        <v>273</v>
      </c>
      <c r="D166" s="0" t="n">
        <v>1</v>
      </c>
      <c r="E166" s="0" t="s">
        <v>1041</v>
      </c>
      <c r="F166" s="3" t="n">
        <f aca="false">D166*_xlfn.XLOOKUP(C166,Item_Master!A:A,Item_Master!G:G)</f>
        <v>2240</v>
      </c>
      <c r="G166" s="0" t="str">
        <f aca="false">TEXT(B166,"MMM YYYY")</f>
        <v>Oct 2025</v>
      </c>
    </row>
    <row r="167" customFormat="false" ht="15" hidden="false" customHeight="false" outlineLevel="0" collapsed="false">
      <c r="A167" s="0" t="s">
        <v>1042</v>
      </c>
      <c r="B167" s="4" t="n">
        <v>45946</v>
      </c>
      <c r="C167" s="0" t="s">
        <v>295</v>
      </c>
      <c r="D167" s="0" t="n">
        <v>2</v>
      </c>
      <c r="E167" s="0" t="s">
        <v>1043</v>
      </c>
      <c r="F167" s="3" t="n">
        <f aca="false">D167*_xlfn.XLOOKUP(C167,Item_Master!A:A,Item_Master!G:G)</f>
        <v>1180</v>
      </c>
      <c r="G167" s="0" t="str">
        <f aca="false">TEXT(B167,"MMM YYYY")</f>
        <v>Oct 2025</v>
      </c>
    </row>
    <row r="168" customFormat="false" ht="15" hidden="false" customHeight="false" outlineLevel="0" collapsed="false">
      <c r="A168" s="0" t="s">
        <v>1044</v>
      </c>
      <c r="B168" s="4" t="n">
        <v>45946</v>
      </c>
      <c r="C168" s="0" t="s">
        <v>320</v>
      </c>
      <c r="D168" s="0" t="n">
        <v>7</v>
      </c>
      <c r="E168" s="0" t="s">
        <v>1045</v>
      </c>
      <c r="F168" s="3" t="n">
        <f aca="false">D168*_xlfn.XLOOKUP(C168,Item_Master!A:A,Item_Master!G:G)</f>
        <v>4060</v>
      </c>
      <c r="G168" s="0" t="str">
        <f aca="false">TEXT(B168,"MMM YYYY")</f>
        <v>Oct 2025</v>
      </c>
    </row>
    <row r="169" customFormat="false" ht="15" hidden="false" customHeight="false" outlineLevel="0" collapsed="false">
      <c r="A169" s="0" t="s">
        <v>1046</v>
      </c>
      <c r="B169" s="4" t="n">
        <v>45946</v>
      </c>
      <c r="C169" s="0" t="s">
        <v>334</v>
      </c>
      <c r="D169" s="0" t="n">
        <v>2</v>
      </c>
      <c r="E169" s="0" t="s">
        <v>1047</v>
      </c>
      <c r="F169" s="3" t="n">
        <f aca="false">D169*_xlfn.XLOOKUP(C169,Item_Master!A:A,Item_Master!G:G)</f>
        <v>880</v>
      </c>
      <c r="G169" s="0" t="str">
        <f aca="false">TEXT(B169,"MMM YYYY")</f>
        <v>Oct 2025</v>
      </c>
    </row>
    <row r="170" customFormat="false" ht="15" hidden="false" customHeight="false" outlineLevel="0" collapsed="false">
      <c r="A170" s="0" t="s">
        <v>1048</v>
      </c>
      <c r="B170" s="4" t="n">
        <v>45946</v>
      </c>
      <c r="C170" s="0" t="s">
        <v>594</v>
      </c>
      <c r="D170" s="0" t="n">
        <v>19</v>
      </c>
      <c r="E170" s="0" t="s">
        <v>1049</v>
      </c>
      <c r="F170" s="3" t="n">
        <f aca="false">D170*_xlfn.XLOOKUP(C170,Item_Master!A:A,Item_Master!G:G)</f>
        <v>48260</v>
      </c>
      <c r="G170" s="0" t="str">
        <f aca="false">TEXT(B170,"MMM YYYY")</f>
        <v>Oct 2025</v>
      </c>
    </row>
    <row r="171" customFormat="false" ht="15" hidden="false" customHeight="false" outlineLevel="0" collapsed="false">
      <c r="A171" s="0" t="s">
        <v>1050</v>
      </c>
      <c r="B171" s="4" t="n">
        <v>45946</v>
      </c>
      <c r="C171" s="0" t="s">
        <v>692</v>
      </c>
      <c r="D171" s="0" t="n">
        <v>2</v>
      </c>
      <c r="E171" s="0" t="s">
        <v>1051</v>
      </c>
      <c r="F171" s="3" t="n">
        <f aca="false">D171*_xlfn.XLOOKUP(C171,Item_Master!A:A,Item_Master!G:G)</f>
        <v>6720</v>
      </c>
      <c r="G171" s="0" t="str">
        <f aca="false">TEXT(B171,"MMM YYYY")</f>
        <v>Oct 2025</v>
      </c>
    </row>
    <row r="172" customFormat="false" ht="15" hidden="false" customHeight="false" outlineLevel="0" collapsed="false">
      <c r="A172" s="0" t="s">
        <v>1052</v>
      </c>
      <c r="B172" s="4" t="n">
        <v>45946</v>
      </c>
      <c r="C172" s="0" t="s">
        <v>702</v>
      </c>
      <c r="D172" s="0" t="n">
        <v>2</v>
      </c>
      <c r="E172" s="0" t="s">
        <v>1053</v>
      </c>
      <c r="F172" s="3" t="n">
        <f aca="false">D172*_xlfn.XLOOKUP(C172,Item_Master!A:A,Item_Master!G:G)</f>
        <v>4620</v>
      </c>
      <c r="G172" s="0" t="str">
        <f aca="false">TEXT(B172,"MMM YYYY")</f>
        <v>Oct 2025</v>
      </c>
    </row>
    <row r="173" customFormat="false" ht="15" hidden="false" customHeight="false" outlineLevel="0" collapsed="false">
      <c r="A173" s="0" t="s">
        <v>1054</v>
      </c>
      <c r="B173" s="4" t="n">
        <v>45946</v>
      </c>
      <c r="C173" s="0" t="s">
        <v>704</v>
      </c>
      <c r="D173" s="0" t="n">
        <v>1</v>
      </c>
      <c r="E173" s="0" t="s">
        <v>1055</v>
      </c>
      <c r="F173" s="3" t="n">
        <f aca="false">D173*_xlfn.XLOOKUP(C173,Item_Master!A:A,Item_Master!G:G)</f>
        <v>460</v>
      </c>
      <c r="G173" s="0" t="str">
        <f aca="false">TEXT(B173,"MMM YYYY")</f>
        <v>Oct 2025</v>
      </c>
    </row>
    <row r="174" customFormat="false" ht="15" hidden="false" customHeight="false" outlineLevel="0" collapsed="false">
      <c r="A174" s="0" t="s">
        <v>1056</v>
      </c>
      <c r="B174" s="4" t="n">
        <v>45947</v>
      </c>
      <c r="C174" s="0" t="s">
        <v>32</v>
      </c>
      <c r="D174" s="0" t="n">
        <v>4</v>
      </c>
      <c r="E174" s="0" t="s">
        <v>1057</v>
      </c>
      <c r="F174" s="3" t="n">
        <f aca="false">D174*_xlfn.XLOOKUP(C174,Item_Master!A:A,Item_Master!G:G)</f>
        <v>16240</v>
      </c>
      <c r="G174" s="0" t="str">
        <f aca="false">TEXT(B174,"MMM YYYY")</f>
        <v>Oct 2025</v>
      </c>
    </row>
    <row r="175" customFormat="false" ht="15" hidden="false" customHeight="false" outlineLevel="0" collapsed="false">
      <c r="A175" s="0" t="s">
        <v>1058</v>
      </c>
      <c r="B175" s="4" t="n">
        <v>45947</v>
      </c>
      <c r="C175" s="0" t="s">
        <v>90</v>
      </c>
      <c r="D175" s="0" t="n">
        <v>32</v>
      </c>
      <c r="E175" s="0" t="s">
        <v>761</v>
      </c>
      <c r="F175" s="3" t="n">
        <f aca="false">D175*_xlfn.XLOOKUP(C175,Item_Master!A:A,Item_Master!G:G)</f>
        <v>3840</v>
      </c>
      <c r="G175" s="0" t="str">
        <f aca="false">TEXT(B175,"MMM YYYY")</f>
        <v>Oct 2025</v>
      </c>
    </row>
    <row r="176" customFormat="false" ht="15" hidden="false" customHeight="false" outlineLevel="0" collapsed="false">
      <c r="A176" s="0" t="s">
        <v>1059</v>
      </c>
      <c r="B176" s="4" t="n">
        <v>45947</v>
      </c>
      <c r="C176" s="0" t="s">
        <v>267</v>
      </c>
      <c r="D176" s="0" t="n">
        <v>1</v>
      </c>
      <c r="E176" s="0" t="s">
        <v>1060</v>
      </c>
      <c r="F176" s="3" t="n">
        <f aca="false">D176*_xlfn.XLOOKUP(C176,Item_Master!A:A,Item_Master!G:G)</f>
        <v>170</v>
      </c>
      <c r="G176" s="0" t="str">
        <f aca="false">TEXT(B176,"MMM YYYY")</f>
        <v>Oct 2025</v>
      </c>
    </row>
    <row r="177" customFormat="false" ht="15" hidden="false" customHeight="false" outlineLevel="0" collapsed="false">
      <c r="A177" s="0" t="s">
        <v>1061</v>
      </c>
      <c r="B177" s="4" t="n">
        <v>45947</v>
      </c>
      <c r="C177" s="0" t="s">
        <v>304</v>
      </c>
      <c r="D177" s="0" t="n">
        <v>3</v>
      </c>
      <c r="E177" s="0" t="s">
        <v>1062</v>
      </c>
      <c r="F177" s="3" t="n">
        <f aca="false">D177*_xlfn.XLOOKUP(C177,Item_Master!A:A,Item_Master!G:G)</f>
        <v>300</v>
      </c>
      <c r="G177" s="0" t="str">
        <f aca="false">TEXT(B177,"MMM YYYY")</f>
        <v>Oct 2025</v>
      </c>
    </row>
    <row r="178" customFormat="false" ht="15" hidden="false" customHeight="false" outlineLevel="0" collapsed="false">
      <c r="A178" s="0" t="s">
        <v>1063</v>
      </c>
      <c r="B178" s="4" t="n">
        <v>45947</v>
      </c>
      <c r="C178" s="0" t="s">
        <v>399</v>
      </c>
      <c r="D178" s="0" t="n">
        <v>39</v>
      </c>
      <c r="E178" s="0" t="s">
        <v>1064</v>
      </c>
      <c r="F178" s="3" t="n">
        <f aca="false">D178*_xlfn.XLOOKUP(C178,Item_Master!A:A,Item_Master!G:G)</f>
        <v>472290</v>
      </c>
      <c r="G178" s="0" t="str">
        <f aca="false">TEXT(B178,"MMM YYYY")</f>
        <v>Oct 2025</v>
      </c>
    </row>
    <row r="179" customFormat="false" ht="15" hidden="false" customHeight="false" outlineLevel="0" collapsed="false">
      <c r="A179" s="0" t="s">
        <v>1065</v>
      </c>
      <c r="B179" s="4" t="n">
        <v>45947</v>
      </c>
      <c r="C179" s="0" t="s">
        <v>399</v>
      </c>
      <c r="D179" s="0" t="n">
        <v>1</v>
      </c>
      <c r="E179" s="0" t="s">
        <v>1066</v>
      </c>
      <c r="F179" s="3" t="n">
        <f aca="false">D179*_xlfn.XLOOKUP(C179,Item_Master!A:A,Item_Master!G:G)</f>
        <v>12110</v>
      </c>
      <c r="G179" s="0" t="str">
        <f aca="false">TEXT(B179,"MMM YYYY")</f>
        <v>Oct 2025</v>
      </c>
    </row>
    <row r="180" customFormat="false" ht="15" hidden="false" customHeight="false" outlineLevel="0" collapsed="false">
      <c r="A180" s="0" t="s">
        <v>1067</v>
      </c>
      <c r="B180" s="4" t="n">
        <v>45947</v>
      </c>
      <c r="C180" s="0" t="s">
        <v>406</v>
      </c>
      <c r="D180" s="0" t="n">
        <v>28</v>
      </c>
      <c r="E180" s="0" t="s">
        <v>1068</v>
      </c>
      <c r="F180" s="3" t="n">
        <f aca="false">D180*_xlfn.XLOOKUP(C180,Item_Master!A:A,Item_Master!G:G)</f>
        <v>39760</v>
      </c>
      <c r="G180" s="0" t="str">
        <f aca="false">TEXT(B180,"MMM YYYY")</f>
        <v>Oct 2025</v>
      </c>
    </row>
    <row r="181" customFormat="false" ht="15" hidden="false" customHeight="false" outlineLevel="0" collapsed="false">
      <c r="A181" s="0" t="s">
        <v>1069</v>
      </c>
      <c r="B181" s="4" t="n">
        <v>45947</v>
      </c>
      <c r="C181" s="0" t="s">
        <v>446</v>
      </c>
      <c r="D181" s="0" t="n">
        <v>35</v>
      </c>
      <c r="E181" s="0" t="s">
        <v>1070</v>
      </c>
      <c r="F181" s="3" t="n">
        <f aca="false">D181*_xlfn.XLOOKUP(C181,Item_Master!A:A,Item_Master!G:G)</f>
        <v>61250</v>
      </c>
      <c r="G181" s="0" t="str">
        <f aca="false">TEXT(B181,"MMM YYYY")</f>
        <v>Oct 2025</v>
      </c>
    </row>
    <row r="182" customFormat="false" ht="15" hidden="false" customHeight="false" outlineLevel="0" collapsed="false">
      <c r="A182" s="0" t="s">
        <v>1071</v>
      </c>
      <c r="B182" s="4" t="n">
        <v>45947</v>
      </c>
      <c r="C182" s="0" t="s">
        <v>569</v>
      </c>
      <c r="D182" s="0" t="n">
        <v>24</v>
      </c>
      <c r="E182" s="0" t="s">
        <v>1072</v>
      </c>
      <c r="F182" s="3" t="n">
        <f aca="false">D182*_xlfn.XLOOKUP(C182,Item_Master!A:A,Item_Master!G:G)</f>
        <v>42720</v>
      </c>
      <c r="G182" s="0" t="str">
        <f aca="false">TEXT(B182,"MMM YYYY")</f>
        <v>Oct 2025</v>
      </c>
    </row>
    <row r="183" customFormat="false" ht="15" hidden="false" customHeight="false" outlineLevel="0" collapsed="false">
      <c r="A183" s="0" t="s">
        <v>1073</v>
      </c>
      <c r="B183" s="4" t="n">
        <v>45947</v>
      </c>
      <c r="C183" s="0" t="s">
        <v>571</v>
      </c>
      <c r="D183" s="0" t="n">
        <v>24</v>
      </c>
      <c r="E183" s="0" t="s">
        <v>1074</v>
      </c>
      <c r="F183" s="3" t="n">
        <f aca="false">D183*_xlfn.XLOOKUP(C183,Item_Master!A:A,Item_Master!G:G)</f>
        <v>35520</v>
      </c>
      <c r="G183" s="0" t="str">
        <f aca="false">TEXT(B183,"MMM YYYY")</f>
        <v>Oct 2025</v>
      </c>
    </row>
    <row r="184" customFormat="false" ht="15" hidden="false" customHeight="false" outlineLevel="0" collapsed="false">
      <c r="A184" s="0" t="s">
        <v>1075</v>
      </c>
      <c r="B184" s="4" t="n">
        <v>45947</v>
      </c>
      <c r="C184" s="0" t="s">
        <v>626</v>
      </c>
      <c r="D184" s="0" t="n">
        <v>10</v>
      </c>
      <c r="E184" s="0" t="s">
        <v>1076</v>
      </c>
      <c r="F184" s="3" t="n">
        <f aca="false">D184*_xlfn.XLOOKUP(C184,Item_Master!A:A,Item_Master!G:G)</f>
        <v>3300</v>
      </c>
      <c r="G184" s="0" t="str">
        <f aca="false">TEXT(B184,"MMM YYYY")</f>
        <v>Oct 2025</v>
      </c>
    </row>
    <row r="185" customFormat="false" ht="15" hidden="false" customHeight="false" outlineLevel="0" collapsed="false">
      <c r="A185" s="0" t="s">
        <v>1077</v>
      </c>
      <c r="B185" s="4" t="n">
        <v>45947</v>
      </c>
      <c r="C185" s="0" t="s">
        <v>637</v>
      </c>
      <c r="D185" s="0" t="n">
        <v>39</v>
      </c>
      <c r="E185" s="0" t="s">
        <v>1078</v>
      </c>
      <c r="F185" s="3" t="n">
        <f aca="false">D185*_xlfn.XLOOKUP(C185,Item_Master!A:A,Item_Master!G:G)</f>
        <v>19890</v>
      </c>
      <c r="G185" s="0" t="str">
        <f aca="false">TEXT(B185,"MMM YYYY")</f>
        <v>Oct 2025</v>
      </c>
    </row>
    <row r="186" customFormat="false" ht="15" hidden="false" customHeight="false" outlineLevel="0" collapsed="false">
      <c r="A186" s="0" t="s">
        <v>1079</v>
      </c>
      <c r="B186" s="4" t="n">
        <v>45948</v>
      </c>
      <c r="C186" s="0" t="s">
        <v>17</v>
      </c>
      <c r="D186" s="0" t="n">
        <v>11</v>
      </c>
      <c r="E186" s="0" t="s">
        <v>1080</v>
      </c>
      <c r="F186" s="3" t="n">
        <f aca="false">D186*_xlfn.XLOOKUP(C186,Item_Master!A:A,Item_Master!G:G)</f>
        <v>10230</v>
      </c>
      <c r="G186" s="0" t="str">
        <f aca="false">TEXT(B186,"MMM YYYY")</f>
        <v>Oct 2025</v>
      </c>
    </row>
    <row r="187" customFormat="false" ht="15" hidden="false" customHeight="false" outlineLevel="0" collapsed="false">
      <c r="A187" s="0" t="s">
        <v>1081</v>
      </c>
      <c r="B187" s="4" t="n">
        <v>45948</v>
      </c>
      <c r="C187" s="0" t="s">
        <v>51</v>
      </c>
      <c r="D187" s="0" t="n">
        <v>32</v>
      </c>
      <c r="E187" s="0" t="s">
        <v>1082</v>
      </c>
      <c r="F187" s="3" t="n">
        <f aca="false">D187*_xlfn.XLOOKUP(C187,Item_Master!A:A,Item_Master!G:G)</f>
        <v>401920</v>
      </c>
      <c r="G187" s="0" t="str">
        <f aca="false">TEXT(B187,"MMM YYYY")</f>
        <v>Oct 2025</v>
      </c>
    </row>
    <row r="188" customFormat="false" ht="15" hidden="false" customHeight="false" outlineLevel="0" collapsed="false">
      <c r="A188" s="0" t="s">
        <v>1083</v>
      </c>
      <c r="B188" s="4" t="n">
        <v>45948</v>
      </c>
      <c r="C188" s="0" t="s">
        <v>100</v>
      </c>
      <c r="D188" s="0" t="n">
        <v>40</v>
      </c>
      <c r="E188" s="0" t="s">
        <v>1084</v>
      </c>
      <c r="F188" s="3" t="n">
        <f aca="false">D188*_xlfn.XLOOKUP(C188,Item_Master!A:A,Item_Master!G:G)</f>
        <v>404400</v>
      </c>
      <c r="G188" s="0" t="str">
        <f aca="false">TEXT(B188,"MMM YYYY")</f>
        <v>Oct 2025</v>
      </c>
    </row>
    <row r="189" customFormat="false" ht="15" hidden="false" customHeight="false" outlineLevel="0" collapsed="false">
      <c r="A189" s="0" t="s">
        <v>1085</v>
      </c>
      <c r="B189" s="4" t="n">
        <v>45948</v>
      </c>
      <c r="C189" s="0" t="s">
        <v>151</v>
      </c>
      <c r="D189" s="0" t="n">
        <v>6</v>
      </c>
      <c r="E189" s="0" t="s">
        <v>1086</v>
      </c>
      <c r="F189" s="3" t="n">
        <f aca="false">D189*_xlfn.XLOOKUP(C189,Item_Master!A:A,Item_Master!G:G)</f>
        <v>15360</v>
      </c>
      <c r="G189" s="0" t="str">
        <f aca="false">TEXT(B189,"MMM YYYY")</f>
        <v>Oct 2025</v>
      </c>
    </row>
    <row r="190" customFormat="false" ht="15" hidden="false" customHeight="false" outlineLevel="0" collapsed="false">
      <c r="A190" s="0" t="s">
        <v>1087</v>
      </c>
      <c r="B190" s="4" t="n">
        <v>45948</v>
      </c>
      <c r="C190" s="0" t="s">
        <v>174</v>
      </c>
      <c r="D190" s="0" t="n">
        <v>1</v>
      </c>
      <c r="E190" s="0" t="s">
        <v>1088</v>
      </c>
      <c r="F190" s="3" t="n">
        <f aca="false">D190*_xlfn.XLOOKUP(C190,Item_Master!A:A,Item_Master!G:G)</f>
        <v>480</v>
      </c>
      <c r="G190" s="0" t="str">
        <f aca="false">TEXT(B190,"MMM YYYY")</f>
        <v>Oct 2025</v>
      </c>
    </row>
    <row r="191" customFormat="false" ht="15" hidden="false" customHeight="false" outlineLevel="0" collapsed="false">
      <c r="A191" s="0" t="s">
        <v>1089</v>
      </c>
      <c r="B191" s="4" t="n">
        <v>45948</v>
      </c>
      <c r="C191" s="0" t="s">
        <v>255</v>
      </c>
      <c r="D191" s="0" t="n">
        <v>34</v>
      </c>
      <c r="E191" s="0" t="s">
        <v>1090</v>
      </c>
      <c r="F191" s="3" t="n">
        <f aca="false">D191*_xlfn.XLOOKUP(C191,Item_Master!A:A,Item_Master!G:G)</f>
        <v>532100</v>
      </c>
      <c r="G191" s="0" t="str">
        <f aca="false">TEXT(B191,"MMM YYYY")</f>
        <v>Oct 2025</v>
      </c>
    </row>
    <row r="192" customFormat="false" ht="15" hidden="false" customHeight="false" outlineLevel="0" collapsed="false">
      <c r="A192" s="0" t="s">
        <v>1091</v>
      </c>
      <c r="B192" s="4" t="n">
        <v>45948</v>
      </c>
      <c r="C192" s="0" t="s">
        <v>312</v>
      </c>
      <c r="D192" s="0" t="n">
        <v>39</v>
      </c>
      <c r="E192" s="0" t="s">
        <v>1092</v>
      </c>
      <c r="F192" s="3" t="n">
        <f aca="false">D192*_xlfn.XLOOKUP(C192,Item_Master!A:A,Item_Master!G:G)</f>
        <v>32370</v>
      </c>
      <c r="G192" s="0" t="str">
        <f aca="false">TEXT(B192,"MMM YYYY")</f>
        <v>Oct 2025</v>
      </c>
    </row>
    <row r="193" customFormat="false" ht="15" hidden="false" customHeight="false" outlineLevel="0" collapsed="false">
      <c r="A193" s="0" t="s">
        <v>1093</v>
      </c>
      <c r="B193" s="4" t="n">
        <v>45948</v>
      </c>
      <c r="C193" s="0" t="s">
        <v>355</v>
      </c>
      <c r="D193" s="0" t="n">
        <v>1</v>
      </c>
      <c r="E193" s="0" t="s">
        <v>1094</v>
      </c>
      <c r="F193" s="3" t="n">
        <f aca="false">D193*_xlfn.XLOOKUP(C193,Item_Master!A:A,Item_Master!G:G)</f>
        <v>990</v>
      </c>
      <c r="G193" s="0" t="str">
        <f aca="false">TEXT(B193,"MMM YYYY")</f>
        <v>Oct 2025</v>
      </c>
    </row>
    <row r="194" customFormat="false" ht="15" hidden="false" customHeight="false" outlineLevel="0" collapsed="false">
      <c r="A194" s="0" t="s">
        <v>1095</v>
      </c>
      <c r="B194" s="4" t="n">
        <v>45948</v>
      </c>
      <c r="C194" s="0" t="s">
        <v>476</v>
      </c>
      <c r="D194" s="0" t="n">
        <v>4</v>
      </c>
      <c r="E194" s="0" t="s">
        <v>1096</v>
      </c>
      <c r="F194" s="3" t="n">
        <f aca="false">D194*_xlfn.XLOOKUP(C194,Item_Master!A:A,Item_Master!G:G)</f>
        <v>2440</v>
      </c>
      <c r="G194" s="0" t="str">
        <f aca="false">TEXT(B194,"MMM YYYY")</f>
        <v>Oct 2025</v>
      </c>
    </row>
    <row r="195" customFormat="false" ht="15" hidden="false" customHeight="false" outlineLevel="0" collapsed="false">
      <c r="A195" s="0" t="s">
        <v>1097</v>
      </c>
      <c r="B195" s="4" t="n">
        <v>45948</v>
      </c>
      <c r="C195" s="0" t="s">
        <v>505</v>
      </c>
      <c r="D195" s="0" t="n">
        <v>23</v>
      </c>
      <c r="E195" s="0" t="s">
        <v>1098</v>
      </c>
      <c r="F195" s="3" t="n">
        <f aca="false">D195*_xlfn.XLOOKUP(C195,Item_Master!A:A,Item_Master!G:G)</f>
        <v>21160</v>
      </c>
      <c r="G195" s="0" t="str">
        <f aca="false">TEXT(B195,"MMM YYYY")</f>
        <v>Oct 2025</v>
      </c>
    </row>
    <row r="196" customFormat="false" ht="15" hidden="false" customHeight="false" outlineLevel="0" collapsed="false">
      <c r="A196" s="0" t="s">
        <v>1099</v>
      </c>
      <c r="B196" s="4" t="n">
        <v>45948</v>
      </c>
      <c r="C196" s="0" t="s">
        <v>561</v>
      </c>
      <c r="D196" s="0" t="n">
        <v>26</v>
      </c>
      <c r="E196" s="0" t="s">
        <v>1100</v>
      </c>
      <c r="F196" s="3" t="n">
        <f aca="false">D196*_xlfn.XLOOKUP(C196,Item_Master!A:A,Item_Master!G:G)</f>
        <v>46800</v>
      </c>
      <c r="G196" s="0" t="str">
        <f aca="false">TEXT(B196,"MMM YYYY")</f>
        <v>Oct 2025</v>
      </c>
    </row>
    <row r="197" customFormat="false" ht="15" hidden="false" customHeight="false" outlineLevel="0" collapsed="false">
      <c r="A197" s="0" t="s">
        <v>1101</v>
      </c>
      <c r="B197" s="4" t="n">
        <v>45948</v>
      </c>
      <c r="C197" s="0" t="s">
        <v>570</v>
      </c>
      <c r="D197" s="0" t="n">
        <v>10</v>
      </c>
      <c r="E197" s="0" t="s">
        <v>1102</v>
      </c>
      <c r="F197" s="3" t="n">
        <f aca="false">D197*_xlfn.XLOOKUP(C197,Item_Master!A:A,Item_Master!G:G)</f>
        <v>15800</v>
      </c>
      <c r="G197" s="0" t="str">
        <f aca="false">TEXT(B197,"MMM YYYY")</f>
        <v>Oct 2025</v>
      </c>
    </row>
    <row r="198" customFormat="false" ht="15" hidden="false" customHeight="false" outlineLevel="0" collapsed="false">
      <c r="A198" s="0" t="s">
        <v>1103</v>
      </c>
      <c r="B198" s="4" t="n">
        <v>45948</v>
      </c>
      <c r="C198" s="0" t="s">
        <v>574</v>
      </c>
      <c r="D198" s="0" t="n">
        <v>34</v>
      </c>
      <c r="E198" s="0" t="s">
        <v>1104</v>
      </c>
      <c r="F198" s="3" t="n">
        <f aca="false">D198*_xlfn.XLOOKUP(C198,Item_Master!A:A,Item_Master!G:G)</f>
        <v>93840</v>
      </c>
      <c r="G198" s="0" t="str">
        <f aca="false">TEXT(B198,"MMM YYYY")</f>
        <v>Oct 2025</v>
      </c>
    </row>
    <row r="199" customFormat="false" ht="15" hidden="false" customHeight="false" outlineLevel="0" collapsed="false">
      <c r="A199" s="0" t="s">
        <v>1105</v>
      </c>
      <c r="B199" s="4" t="n">
        <v>45948</v>
      </c>
      <c r="C199" s="0" t="s">
        <v>604</v>
      </c>
      <c r="D199" s="0" t="n">
        <v>7</v>
      </c>
      <c r="E199" s="0" t="s">
        <v>1106</v>
      </c>
      <c r="F199" s="3" t="n">
        <f aca="false">D199*_xlfn.XLOOKUP(C199,Item_Master!A:A,Item_Master!G:G)</f>
        <v>10500</v>
      </c>
      <c r="G199" s="0" t="str">
        <f aca="false">TEXT(B199,"MMM YYYY")</f>
        <v>Oct 2025</v>
      </c>
    </row>
    <row r="200" customFormat="false" ht="15" hidden="false" customHeight="false" outlineLevel="0" collapsed="false">
      <c r="A200" s="0" t="s">
        <v>1107</v>
      </c>
      <c r="B200" s="4" t="n">
        <v>45948</v>
      </c>
      <c r="C200" s="0" t="s">
        <v>608</v>
      </c>
      <c r="D200" s="0" t="n">
        <v>7</v>
      </c>
      <c r="E200" s="0" t="s">
        <v>1108</v>
      </c>
      <c r="F200" s="3" t="n">
        <f aca="false">D200*_xlfn.XLOOKUP(C200,Item_Master!A:A,Item_Master!G:G)</f>
        <v>11130</v>
      </c>
      <c r="G200" s="0" t="str">
        <f aca="false">TEXT(B200,"MMM YYYY")</f>
        <v>Oct 2025</v>
      </c>
    </row>
    <row r="201" customFormat="false" ht="15" hidden="false" customHeight="false" outlineLevel="0" collapsed="false">
      <c r="A201" s="0" t="s">
        <v>1109</v>
      </c>
      <c r="B201" s="4" t="n">
        <v>45949</v>
      </c>
      <c r="C201" s="0" t="s">
        <v>13</v>
      </c>
      <c r="D201" s="0" t="n">
        <v>5</v>
      </c>
      <c r="E201" s="0" t="s">
        <v>1110</v>
      </c>
      <c r="F201" s="3" t="n">
        <f aca="false">D201*_xlfn.XLOOKUP(C201,Item_Master!A:A,Item_Master!G:G)</f>
        <v>10600</v>
      </c>
      <c r="G201" s="0" t="str">
        <f aca="false">TEXT(B201,"MMM YYYY")</f>
        <v>Oct 2025</v>
      </c>
    </row>
    <row r="202" customFormat="false" ht="15" hidden="false" customHeight="false" outlineLevel="0" collapsed="false">
      <c r="A202" s="0" t="s">
        <v>1111</v>
      </c>
      <c r="B202" s="4" t="n">
        <v>45949</v>
      </c>
      <c r="C202" s="0" t="s">
        <v>160</v>
      </c>
      <c r="D202" s="0" t="n">
        <v>19</v>
      </c>
      <c r="E202" s="0" t="s">
        <v>1112</v>
      </c>
      <c r="F202" s="3" t="n">
        <f aca="false">D202*_xlfn.XLOOKUP(C202,Item_Master!A:A,Item_Master!G:G)</f>
        <v>14630</v>
      </c>
      <c r="G202" s="0" t="str">
        <f aca="false">TEXT(B202,"MMM YYYY")</f>
        <v>Oct 2025</v>
      </c>
    </row>
    <row r="203" customFormat="false" ht="15" hidden="false" customHeight="false" outlineLevel="0" collapsed="false">
      <c r="A203" s="0" t="s">
        <v>1113</v>
      </c>
      <c r="B203" s="4" t="n">
        <v>45949</v>
      </c>
      <c r="C203" s="0" t="s">
        <v>178</v>
      </c>
      <c r="D203" s="0" t="n">
        <v>11</v>
      </c>
      <c r="E203" s="0" t="s">
        <v>1114</v>
      </c>
      <c r="F203" s="3" t="n">
        <f aca="false">D203*_xlfn.XLOOKUP(C203,Item_Master!A:A,Item_Master!G:G)</f>
        <v>14410</v>
      </c>
      <c r="G203" s="0" t="str">
        <f aca="false">TEXT(B203,"MMM YYYY")</f>
        <v>Oct 2025</v>
      </c>
    </row>
    <row r="204" customFormat="false" ht="15" hidden="false" customHeight="false" outlineLevel="0" collapsed="false">
      <c r="A204" s="0" t="s">
        <v>1115</v>
      </c>
      <c r="B204" s="4" t="n">
        <v>45949</v>
      </c>
      <c r="C204" s="0" t="s">
        <v>183</v>
      </c>
      <c r="D204" s="0" t="n">
        <v>13</v>
      </c>
      <c r="E204" s="0" t="s">
        <v>1116</v>
      </c>
      <c r="F204" s="3" t="n">
        <f aca="false">D204*_xlfn.XLOOKUP(C204,Item_Master!A:A,Item_Master!G:G)</f>
        <v>28080</v>
      </c>
      <c r="G204" s="0" t="str">
        <f aca="false">TEXT(B204,"MMM YYYY")</f>
        <v>Oct 2025</v>
      </c>
    </row>
    <row r="205" customFormat="false" ht="15" hidden="false" customHeight="false" outlineLevel="0" collapsed="false">
      <c r="A205" s="0" t="s">
        <v>1117</v>
      </c>
      <c r="B205" s="4" t="n">
        <v>45949</v>
      </c>
      <c r="C205" s="0" t="s">
        <v>271</v>
      </c>
      <c r="D205" s="0" t="n">
        <v>1</v>
      </c>
      <c r="E205" s="0" t="s">
        <v>1118</v>
      </c>
      <c r="F205" s="3" t="n">
        <f aca="false">D205*_xlfn.XLOOKUP(C205,Item_Master!A:A,Item_Master!G:G)</f>
        <v>600</v>
      </c>
      <c r="G205" s="0" t="str">
        <f aca="false">TEXT(B205,"MMM YYYY")</f>
        <v>Oct 2025</v>
      </c>
    </row>
    <row r="206" customFormat="false" ht="15" hidden="false" customHeight="false" outlineLevel="0" collapsed="false">
      <c r="A206" s="0" t="s">
        <v>1119</v>
      </c>
      <c r="B206" s="4" t="n">
        <v>45949</v>
      </c>
      <c r="C206" s="0" t="s">
        <v>275</v>
      </c>
      <c r="D206" s="0" t="n">
        <v>5</v>
      </c>
      <c r="E206" s="0" t="s">
        <v>1120</v>
      </c>
      <c r="F206" s="3" t="n">
        <f aca="false">D206*_xlfn.XLOOKUP(C206,Item_Master!A:A,Item_Master!G:G)</f>
        <v>21200</v>
      </c>
      <c r="G206" s="0" t="str">
        <f aca="false">TEXT(B206,"MMM YYYY")</f>
        <v>Oct 2025</v>
      </c>
    </row>
    <row r="207" customFormat="false" ht="15" hidden="false" customHeight="false" outlineLevel="0" collapsed="false">
      <c r="A207" s="0" t="s">
        <v>1121</v>
      </c>
      <c r="B207" s="4" t="n">
        <v>45949</v>
      </c>
      <c r="C207" s="0" t="s">
        <v>285</v>
      </c>
      <c r="D207" s="0" t="n">
        <v>20</v>
      </c>
      <c r="E207" s="0" t="s">
        <v>1122</v>
      </c>
      <c r="F207" s="3" t="n">
        <f aca="false">D207*_xlfn.XLOOKUP(C207,Item_Master!A:A,Item_Master!G:G)</f>
        <v>19600</v>
      </c>
      <c r="G207" s="0" t="str">
        <f aca="false">TEXT(B207,"MMM YYYY")</f>
        <v>Oct 2025</v>
      </c>
    </row>
    <row r="208" customFormat="false" ht="15" hidden="false" customHeight="false" outlineLevel="0" collapsed="false">
      <c r="A208" s="0" t="s">
        <v>1123</v>
      </c>
      <c r="B208" s="4" t="n">
        <v>45949</v>
      </c>
      <c r="C208" s="0" t="s">
        <v>331</v>
      </c>
      <c r="D208" s="0" t="n">
        <v>6</v>
      </c>
      <c r="E208" s="0" t="s">
        <v>1124</v>
      </c>
      <c r="F208" s="3" t="n">
        <f aca="false">D208*_xlfn.XLOOKUP(C208,Item_Master!A:A,Item_Master!G:G)</f>
        <v>7800</v>
      </c>
      <c r="G208" s="0" t="str">
        <f aca="false">TEXT(B208,"MMM YYYY")</f>
        <v>Oct 2025</v>
      </c>
    </row>
    <row r="209" customFormat="false" ht="15" hidden="false" customHeight="false" outlineLevel="0" collapsed="false">
      <c r="A209" s="0" t="s">
        <v>1125</v>
      </c>
      <c r="B209" s="4" t="n">
        <v>45949</v>
      </c>
      <c r="C209" s="0" t="s">
        <v>366</v>
      </c>
      <c r="D209" s="0" t="n">
        <v>34</v>
      </c>
      <c r="E209" s="0" t="s">
        <v>1126</v>
      </c>
      <c r="F209" s="3" t="n">
        <f aca="false">D209*_xlfn.XLOOKUP(C209,Item_Master!A:A,Item_Master!G:G)</f>
        <v>92820</v>
      </c>
      <c r="G209" s="0" t="str">
        <f aca="false">TEXT(B209,"MMM YYYY")</f>
        <v>Oct 2025</v>
      </c>
    </row>
    <row r="210" customFormat="false" ht="15" hidden="false" customHeight="false" outlineLevel="0" collapsed="false">
      <c r="A210" s="0" t="s">
        <v>1127</v>
      </c>
      <c r="B210" s="4" t="n">
        <v>45949</v>
      </c>
      <c r="C210" s="0" t="s">
        <v>467</v>
      </c>
      <c r="D210" s="0" t="n">
        <v>1</v>
      </c>
      <c r="E210" s="0" t="s">
        <v>1128</v>
      </c>
      <c r="F210" s="3" t="n">
        <f aca="false">D210*_xlfn.XLOOKUP(C210,Item_Master!A:A,Item_Master!G:G)</f>
        <v>7130</v>
      </c>
      <c r="G210" s="0" t="str">
        <f aca="false">TEXT(B210,"MMM YYYY")</f>
        <v>Oct 2025</v>
      </c>
    </row>
    <row r="211" customFormat="false" ht="15" hidden="false" customHeight="false" outlineLevel="0" collapsed="false">
      <c r="A211" s="0" t="s">
        <v>1129</v>
      </c>
      <c r="B211" s="4" t="n">
        <v>45949</v>
      </c>
      <c r="C211" s="0" t="s">
        <v>566</v>
      </c>
      <c r="D211" s="0" t="n">
        <v>20</v>
      </c>
      <c r="E211" s="0" t="s">
        <v>1130</v>
      </c>
      <c r="F211" s="3" t="n">
        <f aca="false">D211*_xlfn.XLOOKUP(C211,Item_Master!A:A,Item_Master!G:G)</f>
        <v>34000</v>
      </c>
      <c r="G211" s="0" t="str">
        <f aca="false">TEXT(B211,"MMM YYYY")</f>
        <v>Oct 2025</v>
      </c>
    </row>
    <row r="212" customFormat="false" ht="15" hidden="false" customHeight="false" outlineLevel="0" collapsed="false">
      <c r="A212" s="0" t="s">
        <v>1131</v>
      </c>
      <c r="B212" s="4" t="n">
        <v>45949</v>
      </c>
      <c r="C212" s="0" t="s">
        <v>569</v>
      </c>
      <c r="D212" s="0" t="n">
        <v>37</v>
      </c>
      <c r="E212" s="0" t="s">
        <v>1132</v>
      </c>
      <c r="F212" s="3" t="n">
        <f aca="false">D212*_xlfn.XLOOKUP(C212,Item_Master!A:A,Item_Master!G:G)</f>
        <v>65860</v>
      </c>
      <c r="G212" s="0" t="str">
        <f aca="false">TEXT(B212,"MMM YYYY")</f>
        <v>Oct 2025</v>
      </c>
    </row>
    <row r="213" customFormat="false" ht="15" hidden="false" customHeight="false" outlineLevel="0" collapsed="false">
      <c r="A213" s="0" t="s">
        <v>1133</v>
      </c>
      <c r="B213" s="4" t="n">
        <v>45949</v>
      </c>
      <c r="C213" s="0" t="s">
        <v>588</v>
      </c>
      <c r="D213" s="0" t="n">
        <v>18</v>
      </c>
      <c r="E213" s="0" t="s">
        <v>1134</v>
      </c>
      <c r="F213" s="3" t="n">
        <f aca="false">D213*_xlfn.XLOOKUP(C213,Item_Master!A:A,Item_Master!G:G)</f>
        <v>55260</v>
      </c>
      <c r="G213" s="0" t="str">
        <f aca="false">TEXT(B213,"MMM YYYY")</f>
        <v>Oct 2025</v>
      </c>
    </row>
    <row r="214" customFormat="false" ht="15" hidden="false" customHeight="false" outlineLevel="0" collapsed="false">
      <c r="A214" s="0" t="s">
        <v>1135</v>
      </c>
      <c r="B214" s="4" t="n">
        <v>45949</v>
      </c>
      <c r="C214" s="0" t="s">
        <v>649</v>
      </c>
      <c r="D214" s="0" t="n">
        <v>21</v>
      </c>
      <c r="E214" s="0" t="s">
        <v>1136</v>
      </c>
      <c r="F214" s="3" t="n">
        <f aca="false">D214*_xlfn.XLOOKUP(C214,Item_Master!A:A,Item_Master!G:G)</f>
        <v>33600</v>
      </c>
      <c r="G214" s="0" t="str">
        <f aca="false">TEXT(B214,"MMM YYYY")</f>
        <v>Oct 2025</v>
      </c>
    </row>
    <row r="215" customFormat="false" ht="15" hidden="false" customHeight="false" outlineLevel="0" collapsed="false">
      <c r="A215" s="0" t="s">
        <v>1137</v>
      </c>
      <c r="B215" s="4" t="n">
        <v>45949</v>
      </c>
      <c r="C215" s="0" t="s">
        <v>694</v>
      </c>
      <c r="D215" s="0" t="n">
        <v>2</v>
      </c>
      <c r="E215" s="0" t="s">
        <v>1138</v>
      </c>
      <c r="F215" s="3" t="n">
        <f aca="false">D215*_xlfn.XLOOKUP(C215,Item_Master!A:A,Item_Master!G:G)</f>
        <v>49820</v>
      </c>
      <c r="G215" s="0" t="str">
        <f aca="false">TEXT(B215,"MMM YYYY")</f>
        <v>Oct 2025</v>
      </c>
    </row>
    <row r="216" customFormat="false" ht="15" hidden="false" customHeight="false" outlineLevel="0" collapsed="false">
      <c r="A216" s="0" t="s">
        <v>1139</v>
      </c>
      <c r="B216" s="4" t="n">
        <v>45950</v>
      </c>
      <c r="C216" s="0" t="s">
        <v>174</v>
      </c>
      <c r="D216" s="0" t="n">
        <v>2</v>
      </c>
      <c r="E216" s="0" t="s">
        <v>1140</v>
      </c>
      <c r="F216" s="3" t="n">
        <f aca="false">D216*_xlfn.XLOOKUP(C216,Item_Master!A:A,Item_Master!G:G)</f>
        <v>960</v>
      </c>
      <c r="G216" s="0" t="str">
        <f aca="false">TEXT(B216,"MMM YYYY")</f>
        <v>Oct 2025</v>
      </c>
    </row>
    <row r="217" customFormat="false" ht="15" hidden="false" customHeight="false" outlineLevel="0" collapsed="false">
      <c r="A217" s="0" t="s">
        <v>1141</v>
      </c>
      <c r="B217" s="4" t="n">
        <v>45950</v>
      </c>
      <c r="C217" s="0" t="s">
        <v>406</v>
      </c>
      <c r="D217" s="0" t="n">
        <v>1</v>
      </c>
      <c r="E217" s="0" t="s">
        <v>1142</v>
      </c>
      <c r="F217" s="3" t="n">
        <f aca="false">D217*_xlfn.XLOOKUP(C217,Item_Master!A:A,Item_Master!G:G)</f>
        <v>1420</v>
      </c>
      <c r="G217" s="0" t="str">
        <f aca="false">TEXT(B217,"MMM YYYY")</f>
        <v>Oct 2025</v>
      </c>
    </row>
    <row r="218" customFormat="false" ht="15" hidden="false" customHeight="false" outlineLevel="0" collapsed="false">
      <c r="A218" s="0" t="s">
        <v>1143</v>
      </c>
      <c r="B218" s="4" t="n">
        <v>45950</v>
      </c>
      <c r="C218" s="0" t="s">
        <v>434</v>
      </c>
      <c r="D218" s="0" t="n">
        <v>1</v>
      </c>
      <c r="E218" s="0" t="s">
        <v>1144</v>
      </c>
      <c r="F218" s="3" t="n">
        <f aca="false">D218*_xlfn.XLOOKUP(C218,Item_Master!A:A,Item_Master!G:G)</f>
        <v>370</v>
      </c>
      <c r="G218" s="0" t="str">
        <f aca="false">TEXT(B218,"MMM YYYY")</f>
        <v>Oct 2025</v>
      </c>
    </row>
    <row r="219" customFormat="false" ht="15" hidden="false" customHeight="false" outlineLevel="0" collapsed="false">
      <c r="A219" s="0" t="s">
        <v>1145</v>
      </c>
      <c r="B219" s="4" t="n">
        <v>45950</v>
      </c>
      <c r="C219" s="0" t="s">
        <v>480</v>
      </c>
      <c r="D219" s="0" t="n">
        <v>2</v>
      </c>
      <c r="E219" s="0" t="s">
        <v>1146</v>
      </c>
      <c r="F219" s="3" t="n">
        <f aca="false">D219*_xlfn.XLOOKUP(C219,Item_Master!A:A,Item_Master!G:G)</f>
        <v>5260</v>
      </c>
      <c r="G219" s="0" t="str">
        <f aca="false">TEXT(B219,"MMM YYYY")</f>
        <v>Oct 2025</v>
      </c>
    </row>
    <row r="220" customFormat="false" ht="15" hidden="false" customHeight="false" outlineLevel="0" collapsed="false">
      <c r="A220" s="0" t="s">
        <v>1147</v>
      </c>
      <c r="B220" s="4" t="n">
        <v>45950</v>
      </c>
      <c r="C220" s="0" t="s">
        <v>513</v>
      </c>
      <c r="D220" s="0" t="n">
        <v>3</v>
      </c>
      <c r="E220" s="0" t="s">
        <v>1148</v>
      </c>
      <c r="F220" s="3" t="n">
        <f aca="false">D220*_xlfn.XLOOKUP(C220,Item_Master!A:A,Item_Master!G:G)</f>
        <v>6900</v>
      </c>
      <c r="G220" s="0" t="str">
        <f aca="false">TEXT(B220,"MMM YYYY")</f>
        <v>Oct 2025</v>
      </c>
    </row>
    <row r="221" customFormat="false" ht="15" hidden="false" customHeight="false" outlineLevel="0" collapsed="false">
      <c r="A221" s="0" t="s">
        <v>1149</v>
      </c>
      <c r="B221" s="4" t="n">
        <v>45950</v>
      </c>
      <c r="C221" s="0" t="s">
        <v>527</v>
      </c>
      <c r="D221" s="0" t="n">
        <v>6</v>
      </c>
      <c r="E221" s="0" t="s">
        <v>1150</v>
      </c>
      <c r="F221" s="3" t="n">
        <f aca="false">D221*_xlfn.XLOOKUP(C221,Item_Master!A:A,Item_Master!G:G)</f>
        <v>10320</v>
      </c>
      <c r="G221" s="0" t="str">
        <f aca="false">TEXT(B221,"MMM YYYY")</f>
        <v>Oct 2025</v>
      </c>
    </row>
    <row r="222" customFormat="false" ht="15" hidden="false" customHeight="false" outlineLevel="0" collapsed="false">
      <c r="A222" s="0" t="s">
        <v>1151</v>
      </c>
      <c r="B222" s="4" t="n">
        <v>45950</v>
      </c>
      <c r="C222" s="0" t="s">
        <v>531</v>
      </c>
      <c r="D222" s="0" t="n">
        <v>28</v>
      </c>
      <c r="E222" s="0" t="s">
        <v>1152</v>
      </c>
      <c r="F222" s="3" t="n">
        <f aca="false">D222*_xlfn.XLOOKUP(C222,Item_Master!A:A,Item_Master!G:G)</f>
        <v>45360</v>
      </c>
      <c r="G222" s="0" t="str">
        <f aca="false">TEXT(B222,"MMM YYYY")</f>
        <v>Oct 2025</v>
      </c>
    </row>
    <row r="223" customFormat="false" ht="15" hidden="false" customHeight="false" outlineLevel="0" collapsed="false">
      <c r="A223" s="0" t="s">
        <v>1153</v>
      </c>
      <c r="B223" s="4" t="n">
        <v>45950</v>
      </c>
      <c r="C223" s="0" t="s">
        <v>533</v>
      </c>
      <c r="D223" s="0" t="n">
        <v>7</v>
      </c>
      <c r="E223" s="0" t="s">
        <v>1154</v>
      </c>
      <c r="F223" s="3" t="n">
        <f aca="false">D223*_xlfn.XLOOKUP(C223,Item_Master!A:A,Item_Master!G:G)</f>
        <v>12040</v>
      </c>
      <c r="G223" s="0" t="str">
        <f aca="false">TEXT(B223,"MMM YYYY")</f>
        <v>Oct 2025</v>
      </c>
    </row>
    <row r="224" customFormat="false" ht="15" hidden="false" customHeight="false" outlineLevel="0" collapsed="false">
      <c r="A224" s="0" t="s">
        <v>1155</v>
      </c>
      <c r="B224" s="4" t="n">
        <v>45950</v>
      </c>
      <c r="C224" s="0" t="s">
        <v>537</v>
      </c>
      <c r="D224" s="0" t="n">
        <v>20</v>
      </c>
      <c r="E224" s="0" t="s">
        <v>1156</v>
      </c>
      <c r="F224" s="3" t="n">
        <f aca="false">D224*_xlfn.XLOOKUP(C224,Item_Master!A:A,Item_Master!G:G)</f>
        <v>295200</v>
      </c>
      <c r="G224" s="0" t="str">
        <f aca="false">TEXT(B224,"MMM YYYY")</f>
        <v>Oct 2025</v>
      </c>
    </row>
    <row r="225" customFormat="false" ht="15" hidden="false" customHeight="false" outlineLevel="0" collapsed="false">
      <c r="A225" s="0" t="s">
        <v>1157</v>
      </c>
      <c r="B225" s="4" t="n">
        <v>45950</v>
      </c>
      <c r="C225" s="0" t="s">
        <v>577</v>
      </c>
      <c r="D225" s="0" t="n">
        <v>38</v>
      </c>
      <c r="E225" s="0" t="s">
        <v>1158</v>
      </c>
      <c r="F225" s="3" t="n">
        <f aca="false">D225*_xlfn.XLOOKUP(C225,Item_Master!A:A,Item_Master!G:G)</f>
        <v>52820</v>
      </c>
      <c r="G225" s="0" t="str">
        <f aca="false">TEXT(B225,"MMM YYYY")</f>
        <v>Oct 2025</v>
      </c>
    </row>
    <row r="226" customFormat="false" ht="15" hidden="false" customHeight="false" outlineLevel="0" collapsed="false">
      <c r="A226" s="0" t="s">
        <v>1159</v>
      </c>
      <c r="B226" s="4" t="n">
        <v>45950</v>
      </c>
      <c r="C226" s="0" t="s">
        <v>656</v>
      </c>
      <c r="D226" s="0" t="n">
        <v>1</v>
      </c>
      <c r="E226" s="0" t="s">
        <v>1160</v>
      </c>
      <c r="F226" s="3" t="n">
        <f aca="false">D226*_xlfn.XLOOKUP(C226,Item_Master!A:A,Item_Master!G:G)</f>
        <v>1370</v>
      </c>
      <c r="G226" s="0" t="str">
        <f aca="false">TEXT(B226,"MMM YYYY")</f>
        <v>Oct 2025</v>
      </c>
    </row>
    <row r="227" customFormat="false" ht="15" hidden="false" customHeight="false" outlineLevel="0" collapsed="false">
      <c r="A227" s="0" t="s">
        <v>1161</v>
      </c>
      <c r="B227" s="4" t="n">
        <v>45951</v>
      </c>
      <c r="C227" s="0" t="s">
        <v>41</v>
      </c>
      <c r="D227" s="0" t="n">
        <v>12</v>
      </c>
      <c r="E227" s="0" t="s">
        <v>1162</v>
      </c>
      <c r="F227" s="3" t="n">
        <f aca="false">D227*_xlfn.XLOOKUP(C227,Item_Master!A:A,Item_Master!G:G)</f>
        <v>12240</v>
      </c>
      <c r="G227" s="0" t="str">
        <f aca="false">TEXT(B227,"MMM YYYY")</f>
        <v>Oct 2025</v>
      </c>
    </row>
    <row r="228" customFormat="false" ht="15" hidden="false" customHeight="false" outlineLevel="0" collapsed="false">
      <c r="A228" s="0" t="s">
        <v>1163</v>
      </c>
      <c r="B228" s="4" t="n">
        <v>45951</v>
      </c>
      <c r="C228" s="0" t="s">
        <v>169</v>
      </c>
      <c r="D228" s="0" t="n">
        <v>30</v>
      </c>
      <c r="E228" s="0" t="s">
        <v>1164</v>
      </c>
      <c r="F228" s="3" t="n">
        <f aca="false">D228*_xlfn.XLOOKUP(C228,Item_Master!A:A,Item_Master!G:G)</f>
        <v>123600</v>
      </c>
      <c r="G228" s="0" t="str">
        <f aca="false">TEXT(B228,"MMM YYYY")</f>
        <v>Oct 2025</v>
      </c>
    </row>
    <row r="229" customFormat="false" ht="15" hidden="false" customHeight="false" outlineLevel="0" collapsed="false">
      <c r="A229" s="0" t="s">
        <v>1165</v>
      </c>
      <c r="B229" s="4" t="n">
        <v>45951</v>
      </c>
      <c r="C229" s="0" t="s">
        <v>262</v>
      </c>
      <c r="D229" s="0" t="n">
        <v>5</v>
      </c>
      <c r="E229" s="0" t="s">
        <v>1166</v>
      </c>
      <c r="F229" s="3" t="n">
        <f aca="false">D229*_xlfn.XLOOKUP(C229,Item_Master!A:A,Item_Master!G:G)</f>
        <v>10950</v>
      </c>
      <c r="G229" s="0" t="str">
        <f aca="false">TEXT(B229,"MMM YYYY")</f>
        <v>Oct 2025</v>
      </c>
    </row>
    <row r="230" customFormat="false" ht="15" hidden="false" customHeight="false" outlineLevel="0" collapsed="false">
      <c r="A230" s="0" t="s">
        <v>1167</v>
      </c>
      <c r="B230" s="4" t="n">
        <v>45951</v>
      </c>
      <c r="C230" s="0" t="s">
        <v>300</v>
      </c>
      <c r="D230" s="0" t="n">
        <v>2</v>
      </c>
      <c r="E230" s="0" t="s">
        <v>1168</v>
      </c>
      <c r="F230" s="3" t="n">
        <f aca="false">D230*_xlfn.XLOOKUP(C230,Item_Master!A:A,Item_Master!G:G)</f>
        <v>5100</v>
      </c>
      <c r="G230" s="0" t="str">
        <f aca="false">TEXT(B230,"MMM YYYY")</f>
        <v>Oct 2025</v>
      </c>
    </row>
    <row r="231" customFormat="false" ht="15" hidden="false" customHeight="false" outlineLevel="0" collapsed="false">
      <c r="A231" s="0" t="s">
        <v>1169</v>
      </c>
      <c r="B231" s="4" t="n">
        <v>45951</v>
      </c>
      <c r="C231" s="0" t="s">
        <v>355</v>
      </c>
      <c r="D231" s="0" t="n">
        <v>4</v>
      </c>
      <c r="E231" s="0" t="s">
        <v>1170</v>
      </c>
      <c r="F231" s="3" t="n">
        <f aca="false">D231*_xlfn.XLOOKUP(C231,Item_Master!A:A,Item_Master!G:G)</f>
        <v>3960</v>
      </c>
      <c r="G231" s="0" t="str">
        <f aca="false">TEXT(B231,"MMM YYYY")</f>
        <v>Oct 2025</v>
      </c>
    </row>
    <row r="232" customFormat="false" ht="15" hidden="false" customHeight="false" outlineLevel="0" collapsed="false">
      <c r="A232" s="0" t="s">
        <v>1171</v>
      </c>
      <c r="B232" s="4" t="n">
        <v>45951</v>
      </c>
      <c r="C232" s="0" t="s">
        <v>575</v>
      </c>
      <c r="D232" s="0" t="n">
        <v>18</v>
      </c>
      <c r="E232" s="0" t="s">
        <v>1172</v>
      </c>
      <c r="F232" s="3" t="n">
        <f aca="false">D232*_xlfn.XLOOKUP(C232,Item_Master!A:A,Item_Master!G:G)</f>
        <v>214020</v>
      </c>
      <c r="G232" s="0" t="str">
        <f aca="false">TEXT(B232,"MMM YYYY")</f>
        <v>Oct 2025</v>
      </c>
    </row>
    <row r="233" customFormat="false" ht="15" hidden="false" customHeight="false" outlineLevel="0" collapsed="false">
      <c r="A233" s="0" t="s">
        <v>1173</v>
      </c>
      <c r="B233" s="4" t="n">
        <v>45951</v>
      </c>
      <c r="C233" s="0" t="s">
        <v>612</v>
      </c>
      <c r="D233" s="0" t="n">
        <v>2</v>
      </c>
      <c r="E233" s="0" t="s">
        <v>1174</v>
      </c>
      <c r="F233" s="3" t="n">
        <f aca="false">D233*_xlfn.XLOOKUP(C233,Item_Master!A:A,Item_Master!G:G)</f>
        <v>5180</v>
      </c>
      <c r="G233" s="0" t="str">
        <f aca="false">TEXT(B233,"MMM YYYY")</f>
        <v>Oct 2025</v>
      </c>
    </row>
    <row r="234" customFormat="false" ht="15" hidden="false" customHeight="false" outlineLevel="0" collapsed="false">
      <c r="A234" s="0" t="s">
        <v>1175</v>
      </c>
      <c r="B234" s="4" t="n">
        <v>45951</v>
      </c>
      <c r="C234" s="0" t="s">
        <v>645</v>
      </c>
      <c r="D234" s="0" t="n">
        <v>17</v>
      </c>
      <c r="E234" s="0" t="s">
        <v>1176</v>
      </c>
      <c r="F234" s="3" t="n">
        <f aca="false">D234*_xlfn.XLOOKUP(C234,Item_Master!A:A,Item_Master!G:G)</f>
        <v>205870</v>
      </c>
      <c r="G234" s="0" t="str">
        <f aca="false">TEXT(B234,"MMM YYYY")</f>
        <v>Oct 2025</v>
      </c>
    </row>
    <row r="235" customFormat="false" ht="15" hidden="false" customHeight="false" outlineLevel="0" collapsed="false">
      <c r="A235" s="0" t="s">
        <v>1177</v>
      </c>
      <c r="B235" s="4" t="n">
        <v>45951</v>
      </c>
      <c r="C235" s="0" t="s">
        <v>648</v>
      </c>
      <c r="D235" s="0" t="n">
        <v>25</v>
      </c>
      <c r="E235" s="0" t="s">
        <v>1178</v>
      </c>
      <c r="F235" s="3" t="n">
        <f aca="false">D235*_xlfn.XLOOKUP(C235,Item_Master!A:A,Item_Master!G:G)</f>
        <v>581250</v>
      </c>
      <c r="G235" s="0" t="str">
        <f aca="false">TEXT(B235,"MMM YYYY")</f>
        <v>Oct 2025</v>
      </c>
    </row>
    <row r="236" customFormat="false" ht="15" hidden="false" customHeight="false" outlineLevel="0" collapsed="false">
      <c r="A236" s="0" t="s">
        <v>1179</v>
      </c>
      <c r="B236" s="4" t="n">
        <v>45952</v>
      </c>
      <c r="C236" s="0" t="s">
        <v>17</v>
      </c>
      <c r="D236" s="0" t="n">
        <v>4</v>
      </c>
      <c r="E236" s="0" t="s">
        <v>1180</v>
      </c>
      <c r="F236" s="3" t="n">
        <f aca="false">D236*_xlfn.XLOOKUP(C236,Item_Master!A:A,Item_Master!G:G)</f>
        <v>3720</v>
      </c>
      <c r="G236" s="0" t="str">
        <f aca="false">TEXT(B236,"MMM YYYY")</f>
        <v>Oct 2025</v>
      </c>
    </row>
    <row r="237" customFormat="false" ht="15" hidden="false" customHeight="false" outlineLevel="0" collapsed="false">
      <c r="A237" s="0" t="s">
        <v>1181</v>
      </c>
      <c r="B237" s="4" t="n">
        <v>45952</v>
      </c>
      <c r="C237" s="0" t="s">
        <v>26</v>
      </c>
      <c r="D237" s="0" t="n">
        <v>40</v>
      </c>
      <c r="E237" s="0" t="s">
        <v>1182</v>
      </c>
      <c r="F237" s="3" t="n">
        <f aca="false">D237*_xlfn.XLOOKUP(C237,Item_Master!A:A,Item_Master!G:G)</f>
        <v>52800</v>
      </c>
      <c r="G237" s="0" t="str">
        <f aca="false">TEXT(B237,"MMM YYYY")</f>
        <v>Oct 2025</v>
      </c>
    </row>
    <row r="238" customFormat="false" ht="15" hidden="false" customHeight="false" outlineLevel="0" collapsed="false">
      <c r="A238" s="0" t="s">
        <v>1183</v>
      </c>
      <c r="B238" s="4" t="n">
        <v>45952</v>
      </c>
      <c r="C238" s="0" t="s">
        <v>37</v>
      </c>
      <c r="D238" s="0" t="n">
        <v>2</v>
      </c>
      <c r="E238" s="0" t="s">
        <v>1184</v>
      </c>
      <c r="F238" s="3" t="n">
        <f aca="false">D238*_xlfn.XLOOKUP(C238,Item_Master!A:A,Item_Master!G:G)</f>
        <v>1080</v>
      </c>
      <c r="G238" s="0" t="str">
        <f aca="false">TEXT(B238,"MMM YYYY")</f>
        <v>Oct 2025</v>
      </c>
    </row>
    <row r="239" customFormat="false" ht="15" hidden="false" customHeight="false" outlineLevel="0" collapsed="false">
      <c r="A239" s="0" t="s">
        <v>1185</v>
      </c>
      <c r="B239" s="4" t="n">
        <v>45952</v>
      </c>
      <c r="C239" s="0" t="s">
        <v>229</v>
      </c>
      <c r="D239" s="0" t="n">
        <v>1</v>
      </c>
      <c r="E239" s="0" t="s">
        <v>1186</v>
      </c>
      <c r="F239" s="3" t="n">
        <f aca="false">D239*_xlfn.XLOOKUP(C239,Item_Master!A:A,Item_Master!G:G)</f>
        <v>3160</v>
      </c>
      <c r="G239" s="0" t="str">
        <f aca="false">TEXT(B239,"MMM YYYY")</f>
        <v>Oct 2025</v>
      </c>
    </row>
    <row r="240" customFormat="false" ht="15" hidden="false" customHeight="false" outlineLevel="0" collapsed="false">
      <c r="A240" s="0" t="s">
        <v>1187</v>
      </c>
      <c r="B240" s="4" t="n">
        <v>45952</v>
      </c>
      <c r="C240" s="0" t="s">
        <v>295</v>
      </c>
      <c r="D240" s="0" t="n">
        <v>5</v>
      </c>
      <c r="E240" s="0" t="s">
        <v>1188</v>
      </c>
      <c r="F240" s="3" t="n">
        <f aca="false">D240*_xlfn.XLOOKUP(C240,Item_Master!A:A,Item_Master!G:G)</f>
        <v>2950</v>
      </c>
      <c r="G240" s="0" t="str">
        <f aca="false">TEXT(B240,"MMM YYYY")</f>
        <v>Oct 2025</v>
      </c>
    </row>
    <row r="241" customFormat="false" ht="15" hidden="false" customHeight="false" outlineLevel="0" collapsed="false">
      <c r="A241" s="0" t="s">
        <v>1189</v>
      </c>
      <c r="B241" s="4" t="n">
        <v>45952</v>
      </c>
      <c r="C241" s="0" t="s">
        <v>302</v>
      </c>
      <c r="D241" s="0" t="n">
        <v>4</v>
      </c>
      <c r="E241" s="0" t="s">
        <v>1190</v>
      </c>
      <c r="F241" s="3" t="n">
        <f aca="false">D241*_xlfn.XLOOKUP(C241,Item_Master!A:A,Item_Master!G:G)</f>
        <v>41440</v>
      </c>
      <c r="G241" s="0" t="str">
        <f aca="false">TEXT(B241,"MMM YYYY")</f>
        <v>Oct 2025</v>
      </c>
    </row>
    <row r="242" customFormat="false" ht="15" hidden="false" customHeight="false" outlineLevel="0" collapsed="false">
      <c r="A242" s="0" t="s">
        <v>1191</v>
      </c>
      <c r="B242" s="4" t="n">
        <v>45952</v>
      </c>
      <c r="C242" s="0" t="s">
        <v>306</v>
      </c>
      <c r="D242" s="0" t="n">
        <v>5</v>
      </c>
      <c r="E242" s="0" t="s">
        <v>1192</v>
      </c>
      <c r="F242" s="3" t="n">
        <f aca="false">D242*_xlfn.XLOOKUP(C242,Item_Master!A:A,Item_Master!G:G)</f>
        <v>5100</v>
      </c>
      <c r="G242" s="0" t="str">
        <f aca="false">TEXT(B242,"MMM YYYY")</f>
        <v>Oct 2025</v>
      </c>
    </row>
    <row r="243" customFormat="false" ht="15" hidden="false" customHeight="false" outlineLevel="0" collapsed="false">
      <c r="A243" s="0" t="s">
        <v>1193</v>
      </c>
      <c r="B243" s="4" t="n">
        <v>45952</v>
      </c>
      <c r="C243" s="0" t="s">
        <v>347</v>
      </c>
      <c r="D243" s="0" t="n">
        <v>22</v>
      </c>
      <c r="E243" s="0" t="s">
        <v>1194</v>
      </c>
      <c r="F243" s="3" t="n">
        <f aca="false">D243*_xlfn.XLOOKUP(C243,Item_Master!A:A,Item_Master!G:G)</f>
        <v>5280</v>
      </c>
      <c r="G243" s="0" t="str">
        <f aca="false">TEXT(B243,"MMM YYYY")</f>
        <v>Oct 2025</v>
      </c>
    </row>
    <row r="244" customFormat="false" ht="15" hidden="false" customHeight="false" outlineLevel="0" collapsed="false">
      <c r="A244" s="0" t="s">
        <v>1195</v>
      </c>
      <c r="B244" s="4" t="n">
        <v>45952</v>
      </c>
      <c r="C244" s="0" t="s">
        <v>384</v>
      </c>
      <c r="D244" s="0" t="n">
        <v>12</v>
      </c>
      <c r="E244" s="0" t="s">
        <v>1196</v>
      </c>
      <c r="F244" s="3" t="n">
        <f aca="false">D244*_xlfn.XLOOKUP(C244,Item_Master!A:A,Item_Master!G:G)</f>
        <v>19800</v>
      </c>
      <c r="G244" s="0" t="str">
        <f aca="false">TEXT(B244,"MMM YYYY")</f>
        <v>Oct 2025</v>
      </c>
    </row>
    <row r="245" customFormat="false" ht="15" hidden="false" customHeight="false" outlineLevel="0" collapsed="false">
      <c r="A245" s="0" t="s">
        <v>1197</v>
      </c>
      <c r="B245" s="4" t="n">
        <v>45952</v>
      </c>
      <c r="C245" s="0" t="s">
        <v>456</v>
      </c>
      <c r="D245" s="0" t="n">
        <v>21</v>
      </c>
      <c r="E245" s="0" t="s">
        <v>1198</v>
      </c>
      <c r="F245" s="3" t="n">
        <f aca="false">D245*_xlfn.XLOOKUP(C245,Item_Master!A:A,Item_Master!G:G)</f>
        <v>13650</v>
      </c>
      <c r="G245" s="0" t="str">
        <f aca="false">TEXT(B245,"MMM YYYY")</f>
        <v>Oct 2025</v>
      </c>
    </row>
    <row r="246" customFormat="false" ht="15" hidden="false" customHeight="false" outlineLevel="0" collapsed="false">
      <c r="A246" s="0" t="s">
        <v>1199</v>
      </c>
      <c r="B246" s="4" t="n">
        <v>45952</v>
      </c>
      <c r="C246" s="0" t="s">
        <v>484</v>
      </c>
      <c r="D246" s="0" t="n">
        <v>15</v>
      </c>
      <c r="E246" s="0" t="s">
        <v>1200</v>
      </c>
      <c r="F246" s="3" t="n">
        <f aca="false">D246*_xlfn.XLOOKUP(C246,Item_Master!A:A,Item_Master!G:G)</f>
        <v>36450</v>
      </c>
      <c r="G246" s="0" t="str">
        <f aca="false">TEXT(B246,"MMM YYYY")</f>
        <v>Oct 2025</v>
      </c>
    </row>
    <row r="247" customFormat="false" ht="15" hidden="false" customHeight="false" outlineLevel="0" collapsed="false">
      <c r="A247" s="0" t="s">
        <v>1201</v>
      </c>
      <c r="B247" s="4" t="n">
        <v>45952</v>
      </c>
      <c r="C247" s="0" t="s">
        <v>537</v>
      </c>
      <c r="D247" s="0" t="n">
        <v>10</v>
      </c>
      <c r="E247" s="0" t="s">
        <v>1202</v>
      </c>
      <c r="F247" s="3" t="n">
        <f aca="false">D247*_xlfn.XLOOKUP(C247,Item_Master!A:A,Item_Master!G:G)</f>
        <v>147600</v>
      </c>
      <c r="G247" s="0" t="str">
        <f aca="false">TEXT(B247,"MMM YYYY")</f>
        <v>Oct 2025</v>
      </c>
    </row>
    <row r="248" customFormat="false" ht="15" hidden="false" customHeight="false" outlineLevel="0" collapsed="false">
      <c r="A248" s="0" t="s">
        <v>1203</v>
      </c>
      <c r="B248" s="4" t="n">
        <v>45952</v>
      </c>
      <c r="C248" s="0" t="s">
        <v>557</v>
      </c>
      <c r="D248" s="0" t="n">
        <v>2</v>
      </c>
      <c r="E248" s="0" t="s">
        <v>1204</v>
      </c>
      <c r="F248" s="3" t="n">
        <f aca="false">D248*_xlfn.XLOOKUP(C248,Item_Master!A:A,Item_Master!G:G)</f>
        <v>2160</v>
      </c>
      <c r="G248" s="0" t="str">
        <f aca="false">TEXT(B248,"MMM YYYY")</f>
        <v>Oct 2025</v>
      </c>
    </row>
    <row r="249" customFormat="false" ht="15" hidden="false" customHeight="false" outlineLevel="0" collapsed="false">
      <c r="A249" s="0" t="s">
        <v>1205</v>
      </c>
      <c r="B249" s="4" t="n">
        <v>45952</v>
      </c>
      <c r="C249" s="0" t="s">
        <v>562</v>
      </c>
      <c r="D249" s="0" t="n">
        <v>9</v>
      </c>
      <c r="E249" s="0" t="s">
        <v>1206</v>
      </c>
      <c r="F249" s="3" t="n">
        <f aca="false">D249*_xlfn.XLOOKUP(C249,Item_Master!A:A,Item_Master!G:G)</f>
        <v>12870</v>
      </c>
      <c r="G249" s="0" t="str">
        <f aca="false">TEXT(B249,"MMM YYYY")</f>
        <v>Oct 2025</v>
      </c>
    </row>
    <row r="250" customFormat="false" ht="15" hidden="false" customHeight="false" outlineLevel="0" collapsed="false">
      <c r="A250" s="0" t="s">
        <v>1207</v>
      </c>
      <c r="B250" s="4" t="n">
        <v>45953</v>
      </c>
      <c r="C250" s="0" t="s">
        <v>79</v>
      </c>
      <c r="D250" s="0" t="n">
        <v>37</v>
      </c>
      <c r="E250" s="0" t="s">
        <v>1208</v>
      </c>
      <c r="F250" s="3" t="n">
        <f aca="false">D250*_xlfn.XLOOKUP(C250,Item_Master!A:A,Item_Master!G:G)</f>
        <v>79920</v>
      </c>
      <c r="G250" s="0" t="str">
        <f aca="false">TEXT(B250,"MMM YYYY")</f>
        <v>Oct 2025</v>
      </c>
    </row>
    <row r="251" customFormat="false" ht="15" hidden="false" customHeight="false" outlineLevel="0" collapsed="false">
      <c r="A251" s="0" t="s">
        <v>1209</v>
      </c>
      <c r="B251" s="4" t="n">
        <v>45953</v>
      </c>
      <c r="C251" s="0" t="s">
        <v>168</v>
      </c>
      <c r="D251" s="0" t="n">
        <v>19</v>
      </c>
      <c r="E251" s="0" t="s">
        <v>1210</v>
      </c>
      <c r="F251" s="3" t="n">
        <f aca="false">D251*_xlfn.XLOOKUP(C251,Item_Master!A:A,Item_Master!G:G)</f>
        <v>4750</v>
      </c>
      <c r="G251" s="0" t="str">
        <f aca="false">TEXT(B251,"MMM YYYY")</f>
        <v>Oct 2025</v>
      </c>
    </row>
    <row r="252" customFormat="false" ht="15" hidden="false" customHeight="false" outlineLevel="0" collapsed="false">
      <c r="A252" s="0" t="s">
        <v>1211</v>
      </c>
      <c r="B252" s="4" t="n">
        <v>45953</v>
      </c>
      <c r="C252" s="0" t="s">
        <v>168</v>
      </c>
      <c r="D252" s="0" t="n">
        <v>3</v>
      </c>
      <c r="E252" s="0" t="s">
        <v>1212</v>
      </c>
      <c r="F252" s="3" t="n">
        <f aca="false">D252*_xlfn.XLOOKUP(C252,Item_Master!A:A,Item_Master!G:G)</f>
        <v>750</v>
      </c>
      <c r="G252" s="0" t="str">
        <f aca="false">TEXT(B252,"MMM YYYY")</f>
        <v>Oct 2025</v>
      </c>
    </row>
    <row r="253" customFormat="false" ht="15" hidden="false" customHeight="false" outlineLevel="0" collapsed="false">
      <c r="A253" s="0" t="s">
        <v>1213</v>
      </c>
      <c r="B253" s="4" t="n">
        <v>45953</v>
      </c>
      <c r="C253" s="0" t="s">
        <v>170</v>
      </c>
      <c r="D253" s="0" t="n">
        <v>6</v>
      </c>
      <c r="E253" s="0" t="s">
        <v>1214</v>
      </c>
      <c r="F253" s="3" t="n">
        <f aca="false">D253*_xlfn.XLOOKUP(C253,Item_Master!A:A,Item_Master!G:G)</f>
        <v>2220</v>
      </c>
      <c r="G253" s="0" t="str">
        <f aca="false">TEXT(B253,"MMM YYYY")</f>
        <v>Oct 2025</v>
      </c>
    </row>
    <row r="254" customFormat="false" ht="15" hidden="false" customHeight="false" outlineLevel="0" collapsed="false">
      <c r="A254" s="0" t="s">
        <v>1215</v>
      </c>
      <c r="B254" s="4" t="n">
        <v>45953</v>
      </c>
      <c r="C254" s="0" t="s">
        <v>185</v>
      </c>
      <c r="D254" s="0" t="n">
        <v>40</v>
      </c>
      <c r="E254" s="0" t="s">
        <v>1216</v>
      </c>
      <c r="F254" s="3" t="n">
        <f aca="false">D254*_xlfn.XLOOKUP(C254,Item_Master!A:A,Item_Master!G:G)</f>
        <v>75600</v>
      </c>
      <c r="G254" s="0" t="str">
        <f aca="false">TEXT(B254,"MMM YYYY")</f>
        <v>Oct 2025</v>
      </c>
    </row>
    <row r="255" customFormat="false" ht="15" hidden="false" customHeight="false" outlineLevel="0" collapsed="false">
      <c r="A255" s="0" t="s">
        <v>1217</v>
      </c>
      <c r="B255" s="4" t="n">
        <v>45953</v>
      </c>
      <c r="C255" s="0" t="s">
        <v>263</v>
      </c>
      <c r="D255" s="0" t="n">
        <v>10</v>
      </c>
      <c r="E255" s="0" t="s">
        <v>1218</v>
      </c>
      <c r="F255" s="3" t="n">
        <f aca="false">D255*_xlfn.XLOOKUP(C255,Item_Master!A:A,Item_Master!G:G)</f>
        <v>129800</v>
      </c>
      <c r="G255" s="0" t="str">
        <f aca="false">TEXT(B255,"MMM YYYY")</f>
        <v>Oct 2025</v>
      </c>
    </row>
    <row r="256" customFormat="false" ht="15" hidden="false" customHeight="false" outlineLevel="0" collapsed="false">
      <c r="A256" s="0" t="s">
        <v>1219</v>
      </c>
      <c r="B256" s="4" t="n">
        <v>45953</v>
      </c>
      <c r="C256" s="0" t="s">
        <v>279</v>
      </c>
      <c r="D256" s="0" t="n">
        <v>2</v>
      </c>
      <c r="E256" s="0" t="s">
        <v>1220</v>
      </c>
      <c r="F256" s="3" t="n">
        <f aca="false">D256*_xlfn.XLOOKUP(C256,Item_Master!A:A,Item_Master!G:G)</f>
        <v>25940</v>
      </c>
      <c r="G256" s="0" t="str">
        <f aca="false">TEXT(B256,"MMM YYYY")</f>
        <v>Oct 2025</v>
      </c>
    </row>
    <row r="257" customFormat="false" ht="15" hidden="false" customHeight="false" outlineLevel="0" collapsed="false">
      <c r="A257" s="0" t="s">
        <v>1221</v>
      </c>
      <c r="B257" s="4" t="n">
        <v>45953</v>
      </c>
      <c r="C257" s="0" t="s">
        <v>283</v>
      </c>
      <c r="D257" s="0" t="n">
        <v>16</v>
      </c>
      <c r="E257" s="0" t="s">
        <v>1222</v>
      </c>
      <c r="F257" s="3" t="n">
        <f aca="false">D257*_xlfn.XLOOKUP(C257,Item_Master!A:A,Item_Master!G:G)</f>
        <v>303520</v>
      </c>
      <c r="G257" s="0" t="str">
        <f aca="false">TEXT(B257,"MMM YYYY")</f>
        <v>Oct 2025</v>
      </c>
    </row>
    <row r="258" customFormat="false" ht="15" hidden="false" customHeight="false" outlineLevel="0" collapsed="false">
      <c r="A258" s="0" t="s">
        <v>1223</v>
      </c>
      <c r="B258" s="4" t="n">
        <v>45953</v>
      </c>
      <c r="C258" s="0" t="s">
        <v>287</v>
      </c>
      <c r="D258" s="0" t="n">
        <v>4</v>
      </c>
      <c r="E258" s="0" t="s">
        <v>1224</v>
      </c>
      <c r="F258" s="3" t="n">
        <f aca="false">D258*_xlfn.XLOOKUP(C258,Item_Master!A:A,Item_Master!G:G)</f>
        <v>42160</v>
      </c>
      <c r="G258" s="0" t="str">
        <f aca="false">TEXT(B258,"MMM YYYY")</f>
        <v>Oct 2025</v>
      </c>
    </row>
    <row r="259" customFormat="false" ht="15" hidden="false" customHeight="false" outlineLevel="0" collapsed="false">
      <c r="A259" s="0" t="s">
        <v>1225</v>
      </c>
      <c r="B259" s="4" t="n">
        <v>45953</v>
      </c>
      <c r="C259" s="0" t="s">
        <v>374</v>
      </c>
      <c r="D259" s="0" t="n">
        <v>15</v>
      </c>
      <c r="E259" s="0" t="s">
        <v>1226</v>
      </c>
      <c r="F259" s="3" t="n">
        <f aca="false">D259*_xlfn.XLOOKUP(C259,Item_Master!A:A,Item_Master!G:G)</f>
        <v>28650</v>
      </c>
      <c r="G259" s="0" t="str">
        <f aca="false">TEXT(B259,"MMM YYYY")</f>
        <v>Oct 2025</v>
      </c>
    </row>
    <row r="260" customFormat="false" ht="15" hidden="false" customHeight="false" outlineLevel="0" collapsed="false">
      <c r="A260" s="0" t="s">
        <v>1227</v>
      </c>
      <c r="B260" s="4" t="n">
        <v>45953</v>
      </c>
      <c r="C260" s="0" t="s">
        <v>448</v>
      </c>
      <c r="D260" s="0" t="n">
        <v>1</v>
      </c>
      <c r="E260" s="0" t="s">
        <v>1228</v>
      </c>
      <c r="F260" s="3" t="n">
        <f aca="false">D260*_xlfn.XLOOKUP(C260,Item_Master!A:A,Item_Master!G:G)</f>
        <v>340</v>
      </c>
      <c r="G260" s="0" t="str">
        <f aca="false">TEXT(B260,"MMM YYYY")</f>
        <v>Oct 2025</v>
      </c>
    </row>
    <row r="261" customFormat="false" ht="15" hidden="false" customHeight="false" outlineLevel="0" collapsed="false">
      <c r="A261" s="0" t="s">
        <v>1229</v>
      </c>
      <c r="B261" s="4" t="n">
        <v>45953</v>
      </c>
      <c r="C261" s="0" t="s">
        <v>465</v>
      </c>
      <c r="D261" s="0" t="n">
        <v>9</v>
      </c>
      <c r="E261" s="0" t="s">
        <v>1230</v>
      </c>
      <c r="F261" s="3" t="n">
        <f aca="false">D261*_xlfn.XLOOKUP(C261,Item_Master!A:A,Item_Master!G:G)</f>
        <v>20340</v>
      </c>
      <c r="G261" s="0" t="str">
        <f aca="false">TEXT(B261,"MMM YYYY")</f>
        <v>Oct 2025</v>
      </c>
    </row>
    <row r="262" customFormat="false" ht="15" hidden="false" customHeight="false" outlineLevel="0" collapsed="false">
      <c r="A262" s="0" t="s">
        <v>1231</v>
      </c>
      <c r="B262" s="4" t="n">
        <v>45953</v>
      </c>
      <c r="C262" s="0" t="s">
        <v>590</v>
      </c>
      <c r="D262" s="0" t="n">
        <v>1</v>
      </c>
      <c r="E262" s="0" t="s">
        <v>1232</v>
      </c>
      <c r="F262" s="3" t="n">
        <f aca="false">D262*_xlfn.XLOOKUP(C262,Item_Master!A:A,Item_Master!G:G)</f>
        <v>1850</v>
      </c>
      <c r="G262" s="0" t="str">
        <f aca="false">TEXT(B262,"MMM YYYY")</f>
        <v>Oct 2025</v>
      </c>
    </row>
    <row r="263" customFormat="false" ht="15" hidden="false" customHeight="false" outlineLevel="0" collapsed="false">
      <c r="A263" s="0" t="s">
        <v>1233</v>
      </c>
      <c r="B263" s="4" t="n">
        <v>45953</v>
      </c>
      <c r="C263" s="0" t="s">
        <v>632</v>
      </c>
      <c r="D263" s="0" t="n">
        <v>19</v>
      </c>
      <c r="E263" s="0" t="s">
        <v>1234</v>
      </c>
      <c r="F263" s="3" t="n">
        <f aca="false">D263*_xlfn.XLOOKUP(C263,Item_Master!A:A,Item_Master!G:G)</f>
        <v>122550</v>
      </c>
      <c r="G263" s="0" t="str">
        <f aca="false">TEXT(B263,"MMM YYYY")</f>
        <v>Oct 2025</v>
      </c>
    </row>
    <row r="264" customFormat="false" ht="15" hidden="false" customHeight="false" outlineLevel="0" collapsed="false">
      <c r="A264" s="0" t="s">
        <v>1235</v>
      </c>
      <c r="B264" s="4" t="n">
        <v>45953</v>
      </c>
      <c r="C264" s="0" t="s">
        <v>651</v>
      </c>
      <c r="D264" s="0" t="n">
        <v>1</v>
      </c>
      <c r="E264" s="0" t="s">
        <v>1236</v>
      </c>
      <c r="F264" s="3" t="n">
        <f aca="false">D264*_xlfn.XLOOKUP(C264,Item_Master!A:A,Item_Master!G:G)</f>
        <v>920</v>
      </c>
      <c r="G264" s="0" t="str">
        <f aca="false">TEXT(B264,"MMM YYYY")</f>
        <v>Oct 2025</v>
      </c>
    </row>
    <row r="265" customFormat="false" ht="15" hidden="false" customHeight="false" outlineLevel="0" collapsed="false">
      <c r="A265" s="0" t="s">
        <v>1237</v>
      </c>
      <c r="B265" s="4" t="n">
        <v>45954</v>
      </c>
      <c r="C265" s="0" t="s">
        <v>191</v>
      </c>
      <c r="D265" s="0" t="n">
        <v>1</v>
      </c>
      <c r="E265" s="0" t="s">
        <v>1238</v>
      </c>
      <c r="F265" s="3" t="n">
        <f aca="false">D265*_xlfn.XLOOKUP(C265,Item_Master!A:A,Item_Master!G:G)</f>
        <v>11480</v>
      </c>
      <c r="G265" s="0" t="str">
        <f aca="false">TEXT(B265,"MMM YYYY")</f>
        <v>Oct 2025</v>
      </c>
    </row>
    <row r="266" customFormat="false" ht="15" hidden="false" customHeight="false" outlineLevel="0" collapsed="false">
      <c r="A266" s="0" t="s">
        <v>1239</v>
      </c>
      <c r="B266" s="4" t="n">
        <v>45954</v>
      </c>
      <c r="C266" s="0" t="s">
        <v>204</v>
      </c>
      <c r="D266" s="0" t="n">
        <v>9</v>
      </c>
      <c r="E266" s="0" t="s">
        <v>1240</v>
      </c>
      <c r="F266" s="3" t="n">
        <f aca="false">D266*_xlfn.XLOOKUP(C266,Item_Master!A:A,Item_Master!G:G)</f>
        <v>12690</v>
      </c>
      <c r="G266" s="0" t="str">
        <f aca="false">TEXT(B266,"MMM YYYY")</f>
        <v>Oct 2025</v>
      </c>
    </row>
    <row r="267" customFormat="false" ht="15" hidden="false" customHeight="false" outlineLevel="0" collapsed="false">
      <c r="A267" s="0" t="s">
        <v>1241</v>
      </c>
      <c r="B267" s="4" t="n">
        <v>45954</v>
      </c>
      <c r="C267" s="0" t="s">
        <v>269</v>
      </c>
      <c r="D267" s="0" t="n">
        <v>14</v>
      </c>
      <c r="E267" s="0" t="s">
        <v>1242</v>
      </c>
      <c r="F267" s="3" t="n">
        <f aca="false">D267*_xlfn.XLOOKUP(C267,Item_Master!A:A,Item_Master!G:G)</f>
        <v>33740</v>
      </c>
      <c r="G267" s="0" t="str">
        <f aca="false">TEXT(B267,"MMM YYYY")</f>
        <v>Oct 2025</v>
      </c>
    </row>
    <row r="268" customFormat="false" ht="15" hidden="false" customHeight="false" outlineLevel="0" collapsed="false">
      <c r="A268" s="0" t="s">
        <v>1243</v>
      </c>
      <c r="B268" s="4" t="n">
        <v>45954</v>
      </c>
      <c r="C268" s="0" t="s">
        <v>304</v>
      </c>
      <c r="D268" s="0" t="n">
        <v>10</v>
      </c>
      <c r="E268" s="0" t="s">
        <v>1244</v>
      </c>
      <c r="F268" s="3" t="n">
        <f aca="false">D268*_xlfn.XLOOKUP(C268,Item_Master!A:A,Item_Master!G:G)</f>
        <v>1000</v>
      </c>
      <c r="G268" s="0" t="str">
        <f aca="false">TEXT(B268,"MMM YYYY")</f>
        <v>Oct 2025</v>
      </c>
    </row>
    <row r="269" customFormat="false" ht="15" hidden="false" customHeight="false" outlineLevel="0" collapsed="false">
      <c r="A269" s="0" t="s">
        <v>1245</v>
      </c>
      <c r="B269" s="4" t="n">
        <v>45954</v>
      </c>
      <c r="C269" s="0" t="s">
        <v>368</v>
      </c>
      <c r="D269" s="0" t="n">
        <v>15</v>
      </c>
      <c r="E269" s="0" t="s">
        <v>1246</v>
      </c>
      <c r="F269" s="3" t="n">
        <f aca="false">D269*_xlfn.XLOOKUP(C269,Item_Master!A:A,Item_Master!G:G)</f>
        <v>22200</v>
      </c>
      <c r="G269" s="0" t="str">
        <f aca="false">TEXT(B269,"MMM YYYY")</f>
        <v>Oct 2025</v>
      </c>
    </row>
    <row r="270" customFormat="false" ht="15" hidden="false" customHeight="false" outlineLevel="0" collapsed="false">
      <c r="A270" s="0" t="s">
        <v>1247</v>
      </c>
      <c r="B270" s="4" t="n">
        <v>45954</v>
      </c>
      <c r="C270" s="0" t="s">
        <v>436</v>
      </c>
      <c r="D270" s="0" t="n">
        <v>6</v>
      </c>
      <c r="E270" s="0" t="s">
        <v>1248</v>
      </c>
      <c r="F270" s="3" t="n">
        <f aca="false">D270*_xlfn.XLOOKUP(C270,Item_Master!A:A,Item_Master!G:G)</f>
        <v>16380</v>
      </c>
      <c r="G270" s="0" t="str">
        <f aca="false">TEXT(B270,"MMM YYYY")</f>
        <v>Oct 2025</v>
      </c>
    </row>
    <row r="271" customFormat="false" ht="15" hidden="false" customHeight="false" outlineLevel="0" collapsed="false">
      <c r="A271" s="0" t="s">
        <v>1249</v>
      </c>
      <c r="B271" s="4" t="n">
        <v>45954</v>
      </c>
      <c r="C271" s="0" t="s">
        <v>564</v>
      </c>
      <c r="D271" s="0" t="n">
        <v>5</v>
      </c>
      <c r="E271" s="0" t="s">
        <v>1250</v>
      </c>
      <c r="F271" s="3" t="n">
        <f aca="false">D271*_xlfn.XLOOKUP(C271,Item_Master!A:A,Item_Master!G:G)</f>
        <v>5050</v>
      </c>
      <c r="G271" s="0" t="str">
        <f aca="false">TEXT(B271,"MMM YYYY")</f>
        <v>Oct 2025</v>
      </c>
    </row>
    <row r="272" customFormat="false" ht="15" hidden="false" customHeight="false" outlineLevel="0" collapsed="false">
      <c r="A272" s="0" t="s">
        <v>1251</v>
      </c>
      <c r="B272" s="4" t="n">
        <v>45954</v>
      </c>
      <c r="C272" s="0" t="s">
        <v>566</v>
      </c>
      <c r="D272" s="0" t="n">
        <v>24</v>
      </c>
      <c r="E272" s="0" t="s">
        <v>1252</v>
      </c>
      <c r="F272" s="3" t="n">
        <f aca="false">D272*_xlfn.XLOOKUP(C272,Item_Master!A:A,Item_Master!G:G)</f>
        <v>40800</v>
      </c>
      <c r="G272" s="0" t="str">
        <f aca="false">TEXT(B272,"MMM YYYY")</f>
        <v>Oct 2025</v>
      </c>
    </row>
    <row r="273" customFormat="false" ht="15" hidden="false" customHeight="false" outlineLevel="0" collapsed="false">
      <c r="A273" s="0" t="s">
        <v>1253</v>
      </c>
      <c r="B273" s="4" t="n">
        <v>45954</v>
      </c>
      <c r="C273" s="0" t="s">
        <v>575</v>
      </c>
      <c r="D273" s="0" t="n">
        <v>2</v>
      </c>
      <c r="E273" s="0" t="s">
        <v>1254</v>
      </c>
      <c r="F273" s="3" t="n">
        <f aca="false">D273*_xlfn.XLOOKUP(C273,Item_Master!A:A,Item_Master!G:G)</f>
        <v>23780</v>
      </c>
      <c r="G273" s="0" t="str">
        <f aca="false">TEXT(B273,"MMM YYYY")</f>
        <v>Oct 2025</v>
      </c>
    </row>
    <row r="274" customFormat="false" ht="15" hidden="false" customHeight="false" outlineLevel="0" collapsed="false">
      <c r="A274" s="0" t="s">
        <v>1255</v>
      </c>
      <c r="B274" s="4" t="n">
        <v>45954</v>
      </c>
      <c r="C274" s="0" t="s">
        <v>608</v>
      </c>
      <c r="D274" s="0" t="n">
        <v>1</v>
      </c>
      <c r="E274" s="0" t="s">
        <v>1256</v>
      </c>
      <c r="F274" s="3" t="n">
        <f aca="false">D274*_xlfn.XLOOKUP(C274,Item_Master!A:A,Item_Master!G:G)</f>
        <v>1590</v>
      </c>
      <c r="G274" s="0" t="str">
        <f aca="false">TEXT(B274,"MMM YYYY")</f>
        <v>Oct 2025</v>
      </c>
    </row>
    <row r="275" customFormat="false" ht="15" hidden="false" customHeight="false" outlineLevel="0" collapsed="false">
      <c r="A275" s="0" t="s">
        <v>1257</v>
      </c>
      <c r="B275" s="4" t="n">
        <v>45955</v>
      </c>
      <c r="C275" s="0" t="s">
        <v>87</v>
      </c>
      <c r="D275" s="0" t="n">
        <v>16</v>
      </c>
      <c r="E275" s="0" t="s">
        <v>1258</v>
      </c>
      <c r="F275" s="3" t="n">
        <f aca="false">D275*_xlfn.XLOOKUP(C275,Item_Master!A:A,Item_Master!G:G)</f>
        <v>31840</v>
      </c>
      <c r="G275" s="0" t="str">
        <f aca="false">TEXT(B275,"MMM YYYY")</f>
        <v>Oct 2025</v>
      </c>
    </row>
    <row r="276" customFormat="false" ht="15" hidden="false" customHeight="false" outlineLevel="0" collapsed="false">
      <c r="A276" s="0" t="s">
        <v>1259</v>
      </c>
      <c r="B276" s="4" t="n">
        <v>45955</v>
      </c>
      <c r="C276" s="0" t="s">
        <v>117</v>
      </c>
      <c r="D276" s="0" t="n">
        <v>35</v>
      </c>
      <c r="E276" s="0" t="s">
        <v>1260</v>
      </c>
      <c r="F276" s="3" t="n">
        <f aca="false">D276*_xlfn.XLOOKUP(C276,Item_Master!A:A,Item_Master!G:G)</f>
        <v>12600</v>
      </c>
      <c r="G276" s="0" t="str">
        <f aca="false">TEXT(B276,"MMM YYYY")</f>
        <v>Oct 2025</v>
      </c>
    </row>
    <row r="277" customFormat="false" ht="15" hidden="false" customHeight="false" outlineLevel="0" collapsed="false">
      <c r="A277" s="0" t="s">
        <v>1261</v>
      </c>
      <c r="B277" s="4" t="n">
        <v>45955</v>
      </c>
      <c r="C277" s="0" t="s">
        <v>148</v>
      </c>
      <c r="D277" s="0" t="n">
        <v>8</v>
      </c>
      <c r="E277" s="0" t="s">
        <v>1262</v>
      </c>
      <c r="F277" s="3" t="n">
        <f aca="false">D277*_xlfn.XLOOKUP(C277,Item_Master!A:A,Item_Master!G:G)</f>
        <v>3440</v>
      </c>
      <c r="G277" s="0" t="str">
        <f aca="false">TEXT(B277,"MMM YYYY")</f>
        <v>Oct 2025</v>
      </c>
    </row>
    <row r="278" customFormat="false" ht="15" hidden="false" customHeight="false" outlineLevel="0" collapsed="false">
      <c r="A278" s="0" t="s">
        <v>1263</v>
      </c>
      <c r="B278" s="4" t="n">
        <v>45955</v>
      </c>
      <c r="C278" s="0" t="s">
        <v>165</v>
      </c>
      <c r="D278" s="0" t="n">
        <v>8</v>
      </c>
      <c r="E278" s="0" t="s">
        <v>1264</v>
      </c>
      <c r="F278" s="3" t="n">
        <f aca="false">D278*_xlfn.XLOOKUP(C278,Item_Master!A:A,Item_Master!G:G)</f>
        <v>7760</v>
      </c>
      <c r="G278" s="0" t="str">
        <f aca="false">TEXT(B278,"MMM YYYY")</f>
        <v>Oct 2025</v>
      </c>
    </row>
    <row r="279" customFormat="false" ht="15" hidden="false" customHeight="false" outlineLevel="0" collapsed="false">
      <c r="A279" s="0" t="s">
        <v>1265</v>
      </c>
      <c r="B279" s="4" t="n">
        <v>45955</v>
      </c>
      <c r="C279" s="0" t="s">
        <v>523</v>
      </c>
      <c r="D279" s="0" t="n">
        <v>40</v>
      </c>
      <c r="E279" s="0" t="s">
        <v>1266</v>
      </c>
      <c r="F279" s="3" t="n">
        <f aca="false">D279*_xlfn.XLOOKUP(C279,Item_Master!A:A,Item_Master!G:G)</f>
        <v>118800</v>
      </c>
      <c r="G279" s="0" t="str">
        <f aca="false">TEXT(B279,"MMM YYYY")</f>
        <v>Oct 2025</v>
      </c>
    </row>
    <row r="280" customFormat="false" ht="15" hidden="false" customHeight="false" outlineLevel="0" collapsed="false">
      <c r="A280" s="0" t="s">
        <v>1267</v>
      </c>
      <c r="B280" s="4" t="n">
        <v>45955</v>
      </c>
      <c r="C280" s="0" t="s">
        <v>610</v>
      </c>
      <c r="D280" s="0" t="n">
        <v>11</v>
      </c>
      <c r="E280" s="0" t="s">
        <v>1268</v>
      </c>
      <c r="F280" s="3" t="n">
        <f aca="false">D280*_xlfn.XLOOKUP(C280,Item_Master!A:A,Item_Master!G:G)</f>
        <v>25080</v>
      </c>
      <c r="G280" s="0" t="str">
        <f aca="false">TEXT(B280,"MMM YYYY")</f>
        <v>Oct 2025</v>
      </c>
    </row>
    <row r="281" customFormat="false" ht="15" hidden="false" customHeight="false" outlineLevel="0" collapsed="false">
      <c r="A281" s="0" t="s">
        <v>1269</v>
      </c>
      <c r="B281" s="4" t="n">
        <v>45956</v>
      </c>
      <c r="C281" s="0" t="s">
        <v>30</v>
      </c>
      <c r="D281" s="0" t="n">
        <v>3</v>
      </c>
      <c r="E281" s="0" t="s">
        <v>1270</v>
      </c>
      <c r="F281" s="3" t="n">
        <f aca="false">D281*_xlfn.XLOOKUP(C281,Item_Master!A:A,Item_Master!G:G)</f>
        <v>5430</v>
      </c>
      <c r="G281" s="0" t="str">
        <f aca="false">TEXT(B281,"MMM YYYY")</f>
        <v>Oct 2025</v>
      </c>
    </row>
    <row r="282" customFormat="false" ht="15" hidden="false" customHeight="false" outlineLevel="0" collapsed="false">
      <c r="A282" s="0" t="s">
        <v>1271</v>
      </c>
      <c r="B282" s="4" t="n">
        <v>45956</v>
      </c>
      <c r="C282" s="0" t="s">
        <v>100</v>
      </c>
      <c r="D282" s="0" t="n">
        <v>24</v>
      </c>
      <c r="E282" s="0" t="s">
        <v>1272</v>
      </c>
      <c r="F282" s="3" t="n">
        <f aca="false">D282*_xlfn.XLOOKUP(C282,Item_Master!A:A,Item_Master!G:G)</f>
        <v>242640</v>
      </c>
      <c r="G282" s="0" t="str">
        <f aca="false">TEXT(B282,"MMM YYYY")</f>
        <v>Oct 2025</v>
      </c>
    </row>
    <row r="283" customFormat="false" ht="15" hidden="false" customHeight="false" outlineLevel="0" collapsed="false">
      <c r="A283" s="0" t="s">
        <v>1273</v>
      </c>
      <c r="B283" s="4" t="n">
        <v>45956</v>
      </c>
      <c r="C283" s="0" t="s">
        <v>103</v>
      </c>
      <c r="D283" s="0" t="n">
        <v>6</v>
      </c>
      <c r="E283" s="0" t="s">
        <v>1274</v>
      </c>
      <c r="F283" s="3" t="n">
        <f aca="false">D283*_xlfn.XLOOKUP(C283,Item_Master!A:A,Item_Master!G:G)</f>
        <v>10800</v>
      </c>
      <c r="G283" s="0" t="str">
        <f aca="false">TEXT(B283,"MMM YYYY")</f>
        <v>Oct 2025</v>
      </c>
    </row>
    <row r="284" customFormat="false" ht="15" hidden="false" customHeight="false" outlineLevel="0" collapsed="false">
      <c r="A284" s="0" t="s">
        <v>1275</v>
      </c>
      <c r="B284" s="4" t="n">
        <v>45956</v>
      </c>
      <c r="C284" s="0" t="s">
        <v>127</v>
      </c>
      <c r="D284" s="0" t="n">
        <v>1</v>
      </c>
      <c r="E284" s="0" t="s">
        <v>1276</v>
      </c>
      <c r="F284" s="3" t="n">
        <f aca="false">D284*_xlfn.XLOOKUP(C284,Item_Master!A:A,Item_Master!G:G)</f>
        <v>2710</v>
      </c>
      <c r="G284" s="0" t="str">
        <f aca="false">TEXT(B284,"MMM YYYY")</f>
        <v>Oct 2025</v>
      </c>
    </row>
    <row r="285" customFormat="false" ht="15" hidden="false" customHeight="false" outlineLevel="0" collapsed="false">
      <c r="A285" s="0" t="s">
        <v>1277</v>
      </c>
      <c r="B285" s="4" t="n">
        <v>45956</v>
      </c>
      <c r="C285" s="0" t="s">
        <v>168</v>
      </c>
      <c r="D285" s="0" t="n">
        <v>14</v>
      </c>
      <c r="E285" s="0" t="s">
        <v>1278</v>
      </c>
      <c r="F285" s="3" t="n">
        <f aca="false">D285*_xlfn.XLOOKUP(C285,Item_Master!A:A,Item_Master!G:G)</f>
        <v>3500</v>
      </c>
      <c r="G285" s="0" t="str">
        <f aca="false">TEXT(B285,"MMM YYYY")</f>
        <v>Oct 2025</v>
      </c>
    </row>
    <row r="286" customFormat="false" ht="15" hidden="false" customHeight="false" outlineLevel="0" collapsed="false">
      <c r="A286" s="0" t="s">
        <v>1279</v>
      </c>
      <c r="B286" s="4" t="n">
        <v>45956</v>
      </c>
      <c r="C286" s="0" t="s">
        <v>172</v>
      </c>
      <c r="D286" s="0" t="n">
        <v>8</v>
      </c>
      <c r="E286" s="0" t="s">
        <v>1280</v>
      </c>
      <c r="F286" s="3" t="n">
        <f aca="false">D286*_xlfn.XLOOKUP(C286,Item_Master!A:A,Item_Master!G:G)</f>
        <v>26400</v>
      </c>
      <c r="G286" s="0" t="str">
        <f aca="false">TEXT(B286,"MMM YYYY")</f>
        <v>Oct 2025</v>
      </c>
    </row>
    <row r="287" customFormat="false" ht="15" hidden="false" customHeight="false" outlineLevel="0" collapsed="false">
      <c r="A287" s="0" t="s">
        <v>1281</v>
      </c>
      <c r="B287" s="4" t="n">
        <v>45956</v>
      </c>
      <c r="C287" s="0" t="s">
        <v>174</v>
      </c>
      <c r="D287" s="0" t="n">
        <v>3</v>
      </c>
      <c r="E287" s="0" t="s">
        <v>1282</v>
      </c>
      <c r="F287" s="3" t="n">
        <f aca="false">D287*_xlfn.XLOOKUP(C287,Item_Master!A:A,Item_Master!G:G)</f>
        <v>1440</v>
      </c>
      <c r="G287" s="0" t="str">
        <f aca="false">TEXT(B287,"MMM YYYY")</f>
        <v>Oct 2025</v>
      </c>
    </row>
    <row r="288" customFormat="false" ht="15" hidden="false" customHeight="false" outlineLevel="0" collapsed="false">
      <c r="A288" s="0" t="s">
        <v>1283</v>
      </c>
      <c r="B288" s="4" t="n">
        <v>45956</v>
      </c>
      <c r="C288" s="0" t="s">
        <v>257</v>
      </c>
      <c r="D288" s="0" t="n">
        <v>12</v>
      </c>
      <c r="E288" s="0" t="s">
        <v>1284</v>
      </c>
      <c r="F288" s="3" t="n">
        <f aca="false">D288*_xlfn.XLOOKUP(C288,Item_Master!A:A,Item_Master!G:G)</f>
        <v>6000</v>
      </c>
      <c r="G288" s="0" t="str">
        <f aca="false">TEXT(B288,"MMM YYYY")</f>
        <v>Oct 2025</v>
      </c>
    </row>
    <row r="289" customFormat="false" ht="15" hidden="false" customHeight="false" outlineLevel="0" collapsed="false">
      <c r="A289" s="0" t="s">
        <v>1285</v>
      </c>
      <c r="B289" s="4" t="n">
        <v>45956</v>
      </c>
      <c r="C289" s="0" t="s">
        <v>283</v>
      </c>
      <c r="D289" s="0" t="n">
        <v>9</v>
      </c>
      <c r="E289" s="0" t="s">
        <v>1286</v>
      </c>
      <c r="F289" s="3" t="n">
        <f aca="false">D289*_xlfn.XLOOKUP(C289,Item_Master!A:A,Item_Master!G:G)</f>
        <v>170730</v>
      </c>
      <c r="G289" s="0" t="str">
        <f aca="false">TEXT(B289,"MMM YYYY")</f>
        <v>Oct 2025</v>
      </c>
    </row>
    <row r="290" customFormat="false" ht="15" hidden="false" customHeight="false" outlineLevel="0" collapsed="false">
      <c r="A290" s="0" t="s">
        <v>1287</v>
      </c>
      <c r="B290" s="4" t="n">
        <v>45956</v>
      </c>
      <c r="C290" s="0" t="s">
        <v>541</v>
      </c>
      <c r="D290" s="0" t="n">
        <v>22</v>
      </c>
      <c r="E290" s="0" t="s">
        <v>1288</v>
      </c>
      <c r="F290" s="3" t="n">
        <f aca="false">D290*_xlfn.XLOOKUP(C290,Item_Master!A:A,Item_Master!G:G)</f>
        <v>25520</v>
      </c>
      <c r="G290" s="0" t="str">
        <f aca="false">TEXT(B290,"MMM YYYY")</f>
        <v>Oct 2025</v>
      </c>
    </row>
    <row r="291" customFormat="false" ht="15" hidden="false" customHeight="false" outlineLevel="0" collapsed="false">
      <c r="A291" s="0" t="s">
        <v>1289</v>
      </c>
      <c r="B291" s="4" t="n">
        <v>45956</v>
      </c>
      <c r="C291" s="0" t="s">
        <v>553</v>
      </c>
      <c r="D291" s="0" t="n">
        <v>20</v>
      </c>
      <c r="E291" s="0" t="s">
        <v>1290</v>
      </c>
      <c r="F291" s="3" t="n">
        <f aca="false">D291*_xlfn.XLOOKUP(C291,Item_Master!A:A,Item_Master!G:G)</f>
        <v>115000</v>
      </c>
      <c r="G291" s="0" t="str">
        <f aca="false">TEXT(B291,"MMM YYYY")</f>
        <v>Oct 2025</v>
      </c>
    </row>
    <row r="292" customFormat="false" ht="15" hidden="false" customHeight="false" outlineLevel="0" collapsed="false">
      <c r="A292" s="0" t="s">
        <v>1291</v>
      </c>
      <c r="B292" s="4" t="n">
        <v>45956</v>
      </c>
      <c r="C292" s="0" t="s">
        <v>603</v>
      </c>
      <c r="D292" s="0" t="n">
        <v>9</v>
      </c>
      <c r="E292" s="0" t="s">
        <v>1292</v>
      </c>
      <c r="F292" s="3" t="n">
        <f aca="false">D292*_xlfn.XLOOKUP(C292,Item_Master!A:A,Item_Master!G:G)</f>
        <v>4050</v>
      </c>
      <c r="G292" s="0" t="str">
        <f aca="false">TEXT(B292,"MMM YYYY")</f>
        <v>Oct 2025</v>
      </c>
    </row>
    <row r="293" customFormat="false" ht="15" hidden="false" customHeight="false" outlineLevel="0" collapsed="false">
      <c r="A293" s="0" t="s">
        <v>1293</v>
      </c>
      <c r="B293" s="4" t="n">
        <v>45956</v>
      </c>
      <c r="C293" s="0" t="s">
        <v>692</v>
      </c>
      <c r="D293" s="0" t="n">
        <v>1</v>
      </c>
      <c r="E293" s="0" t="s">
        <v>1294</v>
      </c>
      <c r="F293" s="3" t="n">
        <f aca="false">D293*_xlfn.XLOOKUP(C293,Item_Master!A:A,Item_Master!G:G)</f>
        <v>3360</v>
      </c>
      <c r="G293" s="0" t="str">
        <f aca="false">TEXT(B293,"MMM YYYY")</f>
        <v>Oct 2025</v>
      </c>
    </row>
    <row r="294" customFormat="false" ht="15" hidden="false" customHeight="false" outlineLevel="0" collapsed="false">
      <c r="A294" s="0" t="s">
        <v>1295</v>
      </c>
      <c r="B294" s="4" t="n">
        <v>45957</v>
      </c>
      <c r="C294" s="0" t="s">
        <v>185</v>
      </c>
      <c r="D294" s="0" t="n">
        <v>6</v>
      </c>
      <c r="E294" s="0" t="s">
        <v>1296</v>
      </c>
      <c r="F294" s="3" t="n">
        <f aca="false">D294*_xlfn.XLOOKUP(C294,Item_Master!A:A,Item_Master!G:G)</f>
        <v>11340</v>
      </c>
      <c r="G294" s="0" t="str">
        <f aca="false">TEXT(B294,"MMM YYYY")</f>
        <v>Oct 2025</v>
      </c>
    </row>
    <row r="295" customFormat="false" ht="15" hidden="false" customHeight="false" outlineLevel="0" collapsed="false">
      <c r="A295" s="0" t="s">
        <v>1297</v>
      </c>
      <c r="B295" s="4" t="n">
        <v>45957</v>
      </c>
      <c r="C295" s="0" t="s">
        <v>221</v>
      </c>
      <c r="D295" s="0" t="n">
        <v>20</v>
      </c>
      <c r="E295" s="0" t="s">
        <v>1298</v>
      </c>
      <c r="F295" s="3" t="n">
        <f aca="false">D295*_xlfn.XLOOKUP(C295,Item_Master!A:A,Item_Master!G:G)</f>
        <v>31400</v>
      </c>
      <c r="G295" s="0" t="str">
        <f aca="false">TEXT(B295,"MMM YYYY")</f>
        <v>Oct 2025</v>
      </c>
    </row>
    <row r="296" customFormat="false" ht="15" hidden="false" customHeight="false" outlineLevel="0" collapsed="false">
      <c r="A296" s="0" t="s">
        <v>1299</v>
      </c>
      <c r="B296" s="4" t="n">
        <v>45957</v>
      </c>
      <c r="C296" s="0" t="s">
        <v>225</v>
      </c>
      <c r="D296" s="0" t="n">
        <v>27</v>
      </c>
      <c r="E296" s="0" t="s">
        <v>1300</v>
      </c>
      <c r="F296" s="3" t="n">
        <f aca="false">D296*_xlfn.XLOOKUP(C296,Item_Master!A:A,Item_Master!G:G)</f>
        <v>10800</v>
      </c>
      <c r="G296" s="0" t="str">
        <f aca="false">TEXT(B296,"MMM YYYY")</f>
        <v>Oct 2025</v>
      </c>
    </row>
    <row r="297" customFormat="false" ht="15" hidden="false" customHeight="false" outlineLevel="0" collapsed="false">
      <c r="A297" s="0" t="s">
        <v>1301</v>
      </c>
      <c r="B297" s="4" t="n">
        <v>45957</v>
      </c>
      <c r="C297" s="0" t="s">
        <v>232</v>
      </c>
      <c r="D297" s="0" t="n">
        <v>8</v>
      </c>
      <c r="E297" s="0" t="s">
        <v>1302</v>
      </c>
      <c r="F297" s="3" t="n">
        <f aca="false">D297*_xlfn.XLOOKUP(C297,Item_Master!A:A,Item_Master!G:G)</f>
        <v>27360</v>
      </c>
      <c r="G297" s="0" t="str">
        <f aca="false">TEXT(B297,"MMM YYYY")</f>
        <v>Oct 2025</v>
      </c>
    </row>
    <row r="298" customFormat="false" ht="15" hidden="false" customHeight="false" outlineLevel="0" collapsed="false">
      <c r="A298" s="0" t="s">
        <v>1303</v>
      </c>
      <c r="B298" s="4" t="n">
        <v>45957</v>
      </c>
      <c r="C298" s="0" t="s">
        <v>322</v>
      </c>
      <c r="D298" s="0" t="n">
        <v>5</v>
      </c>
      <c r="E298" s="0" t="s">
        <v>1304</v>
      </c>
      <c r="F298" s="3" t="n">
        <f aca="false">D298*_xlfn.XLOOKUP(C298,Item_Master!A:A,Item_Master!G:G)</f>
        <v>10950</v>
      </c>
      <c r="G298" s="0" t="str">
        <f aca="false">TEXT(B298,"MMM YYYY")</f>
        <v>Oct 2025</v>
      </c>
    </row>
    <row r="299" customFormat="false" ht="15" hidden="false" customHeight="false" outlineLevel="0" collapsed="false">
      <c r="A299" s="0" t="s">
        <v>1305</v>
      </c>
      <c r="B299" s="4" t="n">
        <v>45957</v>
      </c>
      <c r="C299" s="0" t="s">
        <v>392</v>
      </c>
      <c r="D299" s="0" t="n">
        <v>6</v>
      </c>
      <c r="E299" s="0" t="s">
        <v>1306</v>
      </c>
      <c r="F299" s="3" t="n">
        <f aca="false">D299*_xlfn.XLOOKUP(C299,Item_Master!A:A,Item_Master!G:G)</f>
        <v>3780</v>
      </c>
      <c r="G299" s="0" t="str">
        <f aca="false">TEXT(B299,"MMM YYYY")</f>
        <v>Oct 2025</v>
      </c>
    </row>
    <row r="300" customFormat="false" ht="15" hidden="false" customHeight="false" outlineLevel="0" collapsed="false">
      <c r="A300" s="0" t="s">
        <v>1307</v>
      </c>
      <c r="B300" s="4" t="n">
        <v>45957</v>
      </c>
      <c r="C300" s="0" t="s">
        <v>610</v>
      </c>
      <c r="D300" s="0" t="n">
        <v>3</v>
      </c>
      <c r="E300" s="0" t="s">
        <v>1308</v>
      </c>
      <c r="F300" s="3" t="n">
        <f aca="false">D300*_xlfn.XLOOKUP(C300,Item_Master!A:A,Item_Master!G:G)</f>
        <v>6840</v>
      </c>
      <c r="G300" s="0" t="str">
        <f aca="false">TEXT(B300,"MMM YYYY")</f>
        <v>Oct 2025</v>
      </c>
    </row>
    <row r="301" customFormat="false" ht="15" hidden="false" customHeight="false" outlineLevel="0" collapsed="false">
      <c r="A301" s="0" t="s">
        <v>1309</v>
      </c>
      <c r="B301" s="4" t="n">
        <v>45957</v>
      </c>
      <c r="C301" s="0" t="s">
        <v>634</v>
      </c>
      <c r="D301" s="0" t="n">
        <v>5</v>
      </c>
      <c r="E301" s="0" t="s">
        <v>1310</v>
      </c>
      <c r="F301" s="3" t="n">
        <f aca="false">D301*_xlfn.XLOOKUP(C301,Item_Master!A:A,Item_Master!G:G)</f>
        <v>79550</v>
      </c>
      <c r="G301" s="0" t="str">
        <f aca="false">TEXT(B301,"MMM YYYY")</f>
        <v>Oct 2025</v>
      </c>
    </row>
    <row r="302" customFormat="false" ht="15" hidden="false" customHeight="false" outlineLevel="0" collapsed="false">
      <c r="A302" s="0" t="s">
        <v>1311</v>
      </c>
      <c r="B302" s="4" t="n">
        <v>45957</v>
      </c>
      <c r="C302" s="0" t="s">
        <v>658</v>
      </c>
      <c r="D302" s="0" t="n">
        <v>12</v>
      </c>
      <c r="E302" s="0" t="s">
        <v>1312</v>
      </c>
      <c r="F302" s="3" t="n">
        <f aca="false">D302*_xlfn.XLOOKUP(C302,Item_Master!A:A,Item_Master!G:G)</f>
        <v>7320</v>
      </c>
      <c r="G302" s="0" t="str">
        <f aca="false">TEXT(B302,"MMM YYYY")</f>
        <v>Oct 2025</v>
      </c>
    </row>
    <row r="303" customFormat="false" ht="15" hidden="false" customHeight="false" outlineLevel="0" collapsed="false">
      <c r="A303" s="0" t="s">
        <v>1313</v>
      </c>
      <c r="B303" s="4" t="n">
        <v>45957</v>
      </c>
      <c r="C303" s="0" t="s">
        <v>698</v>
      </c>
      <c r="D303" s="0" t="n">
        <v>1</v>
      </c>
      <c r="E303" s="0" t="s">
        <v>1314</v>
      </c>
      <c r="F303" s="3" t="n">
        <f aca="false">D303*_xlfn.XLOOKUP(C303,Item_Master!A:A,Item_Master!G:G)</f>
        <v>920</v>
      </c>
      <c r="G303" s="0" t="str">
        <f aca="false">TEXT(B303,"MMM YYYY")</f>
        <v>Oct 2025</v>
      </c>
    </row>
    <row r="304" customFormat="false" ht="15" hidden="false" customHeight="false" outlineLevel="0" collapsed="false">
      <c r="A304" s="0" t="s">
        <v>1315</v>
      </c>
      <c r="B304" s="4" t="n">
        <v>45957</v>
      </c>
      <c r="C304" s="0" t="s">
        <v>698</v>
      </c>
      <c r="D304" s="0" t="n">
        <v>1</v>
      </c>
      <c r="E304" s="0" t="s">
        <v>1316</v>
      </c>
      <c r="F304" s="3" t="n">
        <f aca="false">D304*_xlfn.XLOOKUP(C304,Item_Master!A:A,Item_Master!G:G)</f>
        <v>920</v>
      </c>
      <c r="G304" s="0" t="str">
        <f aca="false">TEXT(B304,"MMM YYYY")</f>
        <v>Oct 2025</v>
      </c>
    </row>
    <row r="305" customFormat="false" ht="15" hidden="false" customHeight="false" outlineLevel="0" collapsed="false">
      <c r="A305" s="0" t="s">
        <v>1317</v>
      </c>
      <c r="B305" s="4" t="n">
        <v>45957</v>
      </c>
      <c r="C305" s="0" t="s">
        <v>702</v>
      </c>
      <c r="D305" s="0" t="n">
        <v>1</v>
      </c>
      <c r="E305" s="0" t="s">
        <v>1318</v>
      </c>
      <c r="F305" s="3" t="n">
        <f aca="false">D305*_xlfn.XLOOKUP(C305,Item_Master!A:A,Item_Master!G:G)</f>
        <v>2310</v>
      </c>
      <c r="G305" s="0" t="str">
        <f aca="false">TEXT(B305,"MMM YYYY")</f>
        <v>Oct 2025</v>
      </c>
    </row>
    <row r="306" customFormat="false" ht="15" hidden="false" customHeight="false" outlineLevel="0" collapsed="false">
      <c r="A306" s="0" t="s">
        <v>1319</v>
      </c>
      <c r="B306" s="4" t="n">
        <v>45958</v>
      </c>
      <c r="C306" s="0" t="s">
        <v>41</v>
      </c>
      <c r="D306" s="0" t="n">
        <v>4</v>
      </c>
      <c r="E306" s="0" t="s">
        <v>1320</v>
      </c>
      <c r="F306" s="3" t="n">
        <f aca="false">D306*_xlfn.XLOOKUP(C306,Item_Master!A:A,Item_Master!G:G)</f>
        <v>4080</v>
      </c>
      <c r="G306" s="0" t="str">
        <f aca="false">TEXT(B306,"MMM YYYY")</f>
        <v>Oct 2025</v>
      </c>
    </row>
    <row r="307" customFormat="false" ht="15" hidden="false" customHeight="false" outlineLevel="0" collapsed="false">
      <c r="A307" s="0" t="s">
        <v>1321</v>
      </c>
      <c r="B307" s="4" t="n">
        <v>45958</v>
      </c>
      <c r="C307" s="0" t="s">
        <v>51</v>
      </c>
      <c r="D307" s="0" t="n">
        <v>33</v>
      </c>
      <c r="E307" s="0" t="s">
        <v>1322</v>
      </c>
      <c r="F307" s="3" t="n">
        <f aca="false">D307*_xlfn.XLOOKUP(C307,Item_Master!A:A,Item_Master!G:G)</f>
        <v>414480</v>
      </c>
      <c r="G307" s="0" t="str">
        <f aca="false">TEXT(B307,"MMM YYYY")</f>
        <v>Oct 2025</v>
      </c>
    </row>
    <row r="308" customFormat="false" ht="15" hidden="false" customHeight="false" outlineLevel="0" collapsed="false">
      <c r="A308" s="0" t="s">
        <v>1323</v>
      </c>
      <c r="B308" s="4" t="n">
        <v>45958</v>
      </c>
      <c r="C308" s="0" t="s">
        <v>148</v>
      </c>
      <c r="D308" s="0" t="n">
        <v>33</v>
      </c>
      <c r="E308" s="0" t="s">
        <v>1324</v>
      </c>
      <c r="F308" s="3" t="n">
        <f aca="false">D308*_xlfn.XLOOKUP(C308,Item_Master!A:A,Item_Master!G:G)</f>
        <v>14190</v>
      </c>
      <c r="G308" s="0" t="str">
        <f aca="false">TEXT(B308,"MMM YYYY")</f>
        <v>Oct 2025</v>
      </c>
    </row>
    <row r="309" customFormat="false" ht="15" hidden="false" customHeight="false" outlineLevel="0" collapsed="false">
      <c r="A309" s="0" t="s">
        <v>1325</v>
      </c>
      <c r="B309" s="4" t="n">
        <v>45958</v>
      </c>
      <c r="C309" s="0" t="s">
        <v>283</v>
      </c>
      <c r="D309" s="0" t="n">
        <v>12</v>
      </c>
      <c r="E309" s="0" t="s">
        <v>1326</v>
      </c>
      <c r="F309" s="3" t="n">
        <f aca="false">D309*_xlfn.XLOOKUP(C309,Item_Master!A:A,Item_Master!G:G)</f>
        <v>227640</v>
      </c>
      <c r="G309" s="0" t="str">
        <f aca="false">TEXT(B309,"MMM YYYY")</f>
        <v>Oct 2025</v>
      </c>
    </row>
    <row r="310" customFormat="false" ht="15" hidden="false" customHeight="false" outlineLevel="0" collapsed="false">
      <c r="A310" s="0" t="s">
        <v>1327</v>
      </c>
      <c r="B310" s="4" t="n">
        <v>45958</v>
      </c>
      <c r="C310" s="0" t="s">
        <v>347</v>
      </c>
      <c r="D310" s="0" t="n">
        <v>7</v>
      </c>
      <c r="E310" s="0" t="s">
        <v>1328</v>
      </c>
      <c r="F310" s="3" t="n">
        <f aca="false">D310*_xlfn.XLOOKUP(C310,Item_Master!A:A,Item_Master!G:G)</f>
        <v>1680</v>
      </c>
      <c r="G310" s="0" t="str">
        <f aca="false">TEXT(B310,"MMM YYYY")</f>
        <v>Oct 2025</v>
      </c>
    </row>
    <row r="311" customFormat="false" ht="15" hidden="false" customHeight="false" outlineLevel="0" collapsed="false">
      <c r="A311" s="0" t="s">
        <v>1329</v>
      </c>
      <c r="B311" s="4" t="n">
        <v>45958</v>
      </c>
      <c r="C311" s="0" t="s">
        <v>357</v>
      </c>
      <c r="D311" s="0" t="n">
        <v>2</v>
      </c>
      <c r="E311" s="0" t="s">
        <v>1330</v>
      </c>
      <c r="F311" s="3" t="n">
        <f aca="false">D311*_xlfn.XLOOKUP(C311,Item_Master!A:A,Item_Master!G:G)</f>
        <v>21940</v>
      </c>
      <c r="G311" s="0" t="str">
        <f aca="false">TEXT(B311,"MMM YYYY")</f>
        <v>Oct 2025</v>
      </c>
    </row>
    <row r="312" customFormat="false" ht="15" hidden="false" customHeight="false" outlineLevel="0" collapsed="false">
      <c r="A312" s="0" t="s">
        <v>1331</v>
      </c>
      <c r="B312" s="4" t="n">
        <v>45958</v>
      </c>
      <c r="C312" s="0" t="s">
        <v>372</v>
      </c>
      <c r="D312" s="0" t="n">
        <v>23</v>
      </c>
      <c r="E312" s="0" t="s">
        <v>1332</v>
      </c>
      <c r="F312" s="3" t="n">
        <f aca="false">D312*_xlfn.XLOOKUP(C312,Item_Master!A:A,Item_Master!G:G)</f>
        <v>102350</v>
      </c>
      <c r="G312" s="0" t="str">
        <f aca="false">TEXT(B312,"MMM YYYY")</f>
        <v>Oct 2025</v>
      </c>
    </row>
    <row r="313" customFormat="false" ht="15" hidden="false" customHeight="false" outlineLevel="0" collapsed="false">
      <c r="A313" s="0" t="s">
        <v>1333</v>
      </c>
      <c r="B313" s="4" t="n">
        <v>45958</v>
      </c>
      <c r="C313" s="0" t="s">
        <v>384</v>
      </c>
      <c r="D313" s="0" t="n">
        <v>11</v>
      </c>
      <c r="E313" s="0" t="s">
        <v>1334</v>
      </c>
      <c r="F313" s="3" t="n">
        <f aca="false">D313*_xlfn.XLOOKUP(C313,Item_Master!A:A,Item_Master!G:G)</f>
        <v>18150</v>
      </c>
      <c r="G313" s="0" t="str">
        <f aca="false">TEXT(B313,"MMM YYYY")</f>
        <v>Oct 2025</v>
      </c>
    </row>
    <row r="314" customFormat="false" ht="15" hidden="false" customHeight="false" outlineLevel="0" collapsed="false">
      <c r="A314" s="0" t="s">
        <v>1335</v>
      </c>
      <c r="B314" s="4" t="n">
        <v>45958</v>
      </c>
      <c r="C314" s="0" t="s">
        <v>398</v>
      </c>
      <c r="D314" s="0" t="n">
        <v>3</v>
      </c>
      <c r="E314" s="0" t="s">
        <v>1336</v>
      </c>
      <c r="F314" s="3" t="n">
        <f aca="false">D314*_xlfn.XLOOKUP(C314,Item_Master!A:A,Item_Master!G:G)</f>
        <v>930</v>
      </c>
      <c r="G314" s="0" t="str">
        <f aca="false">TEXT(B314,"MMM YYYY")</f>
        <v>Oct 2025</v>
      </c>
    </row>
    <row r="315" customFormat="false" ht="15" hidden="false" customHeight="false" outlineLevel="0" collapsed="false">
      <c r="A315" s="0" t="s">
        <v>1337</v>
      </c>
      <c r="B315" s="4" t="n">
        <v>45958</v>
      </c>
      <c r="C315" s="0" t="s">
        <v>492</v>
      </c>
      <c r="D315" s="0" t="n">
        <v>32</v>
      </c>
      <c r="E315" s="0" t="s">
        <v>1338</v>
      </c>
      <c r="F315" s="3" t="n">
        <f aca="false">D315*_xlfn.XLOOKUP(C315,Item_Master!A:A,Item_Master!G:G)</f>
        <v>11200</v>
      </c>
      <c r="G315" s="0" t="str">
        <f aca="false">TEXT(B315,"MMM YYYY")</f>
        <v>Oct 2025</v>
      </c>
    </row>
    <row r="316" customFormat="false" ht="15" hidden="false" customHeight="false" outlineLevel="0" collapsed="false">
      <c r="A316" s="0" t="s">
        <v>1339</v>
      </c>
      <c r="B316" s="4" t="n">
        <v>45958</v>
      </c>
      <c r="C316" s="0" t="s">
        <v>584</v>
      </c>
      <c r="D316" s="0" t="n">
        <v>3</v>
      </c>
      <c r="E316" s="0" t="s">
        <v>1340</v>
      </c>
      <c r="F316" s="3" t="n">
        <f aca="false">D316*_xlfn.XLOOKUP(C316,Item_Master!A:A,Item_Master!G:G)</f>
        <v>24840</v>
      </c>
      <c r="G316" s="0" t="str">
        <f aca="false">TEXT(B316,"MMM YYYY")</f>
        <v>Oct 2025</v>
      </c>
    </row>
    <row r="317" customFormat="false" ht="15" hidden="false" customHeight="false" outlineLevel="0" collapsed="false">
      <c r="A317" s="0" t="s">
        <v>1341</v>
      </c>
      <c r="B317" s="4" t="n">
        <v>45959</v>
      </c>
      <c r="C317" s="0" t="s">
        <v>112</v>
      </c>
      <c r="D317" s="0" t="n">
        <v>35</v>
      </c>
      <c r="E317" s="0" t="s">
        <v>1342</v>
      </c>
      <c r="F317" s="3" t="n">
        <f aca="false">D317*_xlfn.XLOOKUP(C317,Item_Master!A:A,Item_Master!G:G)</f>
        <v>80500</v>
      </c>
      <c r="G317" s="0" t="str">
        <f aca="false">TEXT(B317,"MMM YYYY")</f>
        <v>Oct 2025</v>
      </c>
    </row>
    <row r="318" customFormat="false" ht="15" hidden="false" customHeight="false" outlineLevel="0" collapsed="false">
      <c r="A318" s="0" t="s">
        <v>1343</v>
      </c>
      <c r="B318" s="4" t="n">
        <v>45959</v>
      </c>
      <c r="C318" s="0" t="s">
        <v>154</v>
      </c>
      <c r="D318" s="0" t="n">
        <v>29</v>
      </c>
      <c r="E318" s="0" t="s">
        <v>1344</v>
      </c>
      <c r="F318" s="3" t="n">
        <f aca="false">D318*_xlfn.XLOOKUP(C318,Item_Master!A:A,Item_Master!G:G)</f>
        <v>5220</v>
      </c>
      <c r="G318" s="0" t="str">
        <f aca="false">TEXT(B318,"MMM YYYY")</f>
        <v>Oct 2025</v>
      </c>
    </row>
    <row r="319" customFormat="false" ht="15" hidden="false" customHeight="false" outlineLevel="0" collapsed="false">
      <c r="A319" s="0" t="s">
        <v>1345</v>
      </c>
      <c r="B319" s="4" t="n">
        <v>45959</v>
      </c>
      <c r="C319" s="0" t="s">
        <v>202</v>
      </c>
      <c r="D319" s="0" t="n">
        <v>33</v>
      </c>
      <c r="E319" s="0" t="s">
        <v>1346</v>
      </c>
      <c r="F319" s="3" t="n">
        <f aca="false">D319*_xlfn.XLOOKUP(C319,Item_Master!A:A,Item_Master!G:G)</f>
        <v>53790</v>
      </c>
      <c r="G319" s="0" t="str">
        <f aca="false">TEXT(B319,"MMM YYYY")</f>
        <v>Oct 2025</v>
      </c>
    </row>
    <row r="320" customFormat="false" ht="15" hidden="false" customHeight="false" outlineLevel="0" collapsed="false">
      <c r="A320" s="0" t="s">
        <v>1347</v>
      </c>
      <c r="B320" s="4" t="n">
        <v>45959</v>
      </c>
      <c r="C320" s="0" t="s">
        <v>275</v>
      </c>
      <c r="D320" s="0" t="n">
        <v>6</v>
      </c>
      <c r="E320" s="0" t="s">
        <v>1348</v>
      </c>
      <c r="F320" s="3" t="n">
        <f aca="false">D320*_xlfn.XLOOKUP(C320,Item_Master!A:A,Item_Master!G:G)</f>
        <v>25440</v>
      </c>
      <c r="G320" s="0" t="str">
        <f aca="false">TEXT(B320,"MMM YYYY")</f>
        <v>Oct 2025</v>
      </c>
    </row>
    <row r="321" customFormat="false" ht="15" hidden="false" customHeight="false" outlineLevel="0" collapsed="false">
      <c r="A321" s="0" t="s">
        <v>1349</v>
      </c>
      <c r="B321" s="4" t="n">
        <v>45959</v>
      </c>
      <c r="C321" s="0" t="s">
        <v>343</v>
      </c>
      <c r="D321" s="0" t="n">
        <v>15</v>
      </c>
      <c r="E321" s="0" t="s">
        <v>1350</v>
      </c>
      <c r="F321" s="3" t="n">
        <f aca="false">D321*_xlfn.XLOOKUP(C321,Item_Master!A:A,Item_Master!G:G)</f>
        <v>26250</v>
      </c>
      <c r="G321" s="0" t="str">
        <f aca="false">TEXT(B321,"MMM YYYY")</f>
        <v>Oct 2025</v>
      </c>
    </row>
    <row r="322" customFormat="false" ht="15" hidden="false" customHeight="false" outlineLevel="0" collapsed="false">
      <c r="A322" s="0" t="s">
        <v>1351</v>
      </c>
      <c r="B322" s="4" t="n">
        <v>45959</v>
      </c>
      <c r="C322" s="0" t="s">
        <v>355</v>
      </c>
      <c r="D322" s="0" t="n">
        <v>3</v>
      </c>
      <c r="E322" s="0" t="s">
        <v>1352</v>
      </c>
      <c r="F322" s="3" t="n">
        <f aca="false">D322*_xlfn.XLOOKUP(C322,Item_Master!A:A,Item_Master!G:G)</f>
        <v>2970</v>
      </c>
      <c r="G322" s="0" t="str">
        <f aca="false">TEXT(B322,"MMM YYYY")</f>
        <v>Oct 2025</v>
      </c>
    </row>
    <row r="323" customFormat="false" ht="15" hidden="false" customHeight="false" outlineLevel="0" collapsed="false">
      <c r="A323" s="0" t="s">
        <v>1353</v>
      </c>
      <c r="B323" s="4" t="n">
        <v>45959</v>
      </c>
      <c r="C323" s="0" t="s">
        <v>424</v>
      </c>
      <c r="D323" s="0" t="n">
        <v>27</v>
      </c>
      <c r="E323" s="0" t="s">
        <v>1354</v>
      </c>
      <c r="F323" s="3" t="n">
        <f aca="false">D323*_xlfn.XLOOKUP(C323,Item_Master!A:A,Item_Master!G:G)</f>
        <v>66420</v>
      </c>
      <c r="G323" s="0" t="str">
        <f aca="false">TEXT(B323,"MMM YYYY")</f>
        <v>Oct 2025</v>
      </c>
    </row>
    <row r="324" customFormat="false" ht="15" hidden="false" customHeight="false" outlineLevel="0" collapsed="false">
      <c r="A324" s="0" t="s">
        <v>1355</v>
      </c>
      <c r="B324" s="4" t="n">
        <v>45959</v>
      </c>
      <c r="C324" s="0" t="s">
        <v>452</v>
      </c>
      <c r="D324" s="0" t="n">
        <v>3</v>
      </c>
      <c r="E324" s="0" t="s">
        <v>1356</v>
      </c>
      <c r="F324" s="3" t="n">
        <f aca="false">D324*_xlfn.XLOOKUP(C324,Item_Master!A:A,Item_Master!G:G)</f>
        <v>2580</v>
      </c>
      <c r="G324" s="0" t="str">
        <f aca="false">TEXT(B324,"MMM YYYY")</f>
        <v>Oct 2025</v>
      </c>
    </row>
    <row r="325" customFormat="false" ht="15" hidden="false" customHeight="false" outlineLevel="0" collapsed="false">
      <c r="A325" s="0" t="s">
        <v>1357</v>
      </c>
      <c r="B325" s="4" t="n">
        <v>45959</v>
      </c>
      <c r="C325" s="0" t="s">
        <v>455</v>
      </c>
      <c r="D325" s="0" t="n">
        <v>37</v>
      </c>
      <c r="E325" s="0" t="s">
        <v>1358</v>
      </c>
      <c r="F325" s="3" t="n">
        <f aca="false">D325*_xlfn.XLOOKUP(C325,Item_Master!A:A,Item_Master!G:G)</f>
        <v>4440</v>
      </c>
      <c r="G325" s="0" t="str">
        <f aca="false">TEXT(B325,"MMM YYYY")</f>
        <v>Oct 2025</v>
      </c>
    </row>
    <row r="326" customFormat="false" ht="15" hidden="false" customHeight="false" outlineLevel="0" collapsed="false">
      <c r="A326" s="0" t="s">
        <v>1359</v>
      </c>
      <c r="B326" s="4" t="n">
        <v>45959</v>
      </c>
      <c r="C326" s="0" t="s">
        <v>529</v>
      </c>
      <c r="D326" s="0" t="n">
        <v>3</v>
      </c>
      <c r="E326" s="0" t="s">
        <v>1360</v>
      </c>
      <c r="F326" s="3" t="n">
        <f aca="false">D326*_xlfn.XLOOKUP(C326,Item_Master!A:A,Item_Master!G:G)</f>
        <v>35280</v>
      </c>
      <c r="G326" s="0" t="str">
        <f aca="false">TEXT(B326,"MMM YYYY")</f>
        <v>Oct 2025</v>
      </c>
    </row>
    <row r="327" customFormat="false" ht="15" hidden="false" customHeight="false" outlineLevel="0" collapsed="false">
      <c r="A327" s="0" t="s">
        <v>1361</v>
      </c>
      <c r="B327" s="4" t="n">
        <v>45959</v>
      </c>
      <c r="C327" s="0" t="s">
        <v>643</v>
      </c>
      <c r="D327" s="0" t="n">
        <v>1</v>
      </c>
      <c r="E327" s="0" t="s">
        <v>1362</v>
      </c>
      <c r="F327" s="3" t="n">
        <f aca="false">D327*_xlfn.XLOOKUP(C327,Item_Master!A:A,Item_Master!G:G)</f>
        <v>1400</v>
      </c>
      <c r="G327" s="0" t="str">
        <f aca="false">TEXT(B327,"MMM YYYY")</f>
        <v>Oct 2025</v>
      </c>
    </row>
    <row r="328" customFormat="false" ht="15" hidden="false" customHeight="false" outlineLevel="0" collapsed="false">
      <c r="A328" s="0" t="s">
        <v>1363</v>
      </c>
      <c r="B328" s="4" t="n">
        <v>45960</v>
      </c>
      <c r="C328" s="0" t="s">
        <v>146</v>
      </c>
      <c r="D328" s="0" t="n">
        <v>2</v>
      </c>
      <c r="E328" s="0" t="s">
        <v>1364</v>
      </c>
      <c r="F328" s="3" t="n">
        <f aca="false">D328*_xlfn.XLOOKUP(C328,Item_Master!A:A,Item_Master!G:G)</f>
        <v>5520</v>
      </c>
      <c r="G328" s="0" t="str">
        <f aca="false">TEXT(B328,"MMM YYYY")</f>
        <v>Oct 2025</v>
      </c>
    </row>
    <row r="329" customFormat="false" ht="15" hidden="false" customHeight="false" outlineLevel="0" collapsed="false">
      <c r="A329" s="0" t="s">
        <v>1365</v>
      </c>
      <c r="B329" s="4" t="n">
        <v>45960</v>
      </c>
      <c r="C329" s="0" t="s">
        <v>193</v>
      </c>
      <c r="D329" s="0" t="n">
        <v>17</v>
      </c>
      <c r="E329" s="0" t="s">
        <v>1366</v>
      </c>
      <c r="F329" s="3" t="n">
        <f aca="false">D329*_xlfn.XLOOKUP(C329,Item_Master!A:A,Item_Master!G:G)</f>
        <v>323510</v>
      </c>
      <c r="G329" s="0" t="str">
        <f aca="false">TEXT(B329,"MMM YYYY")</f>
        <v>Oct 2025</v>
      </c>
    </row>
    <row r="330" customFormat="false" ht="15" hidden="false" customHeight="false" outlineLevel="0" collapsed="false">
      <c r="A330" s="0" t="s">
        <v>1367</v>
      </c>
      <c r="B330" s="4" t="n">
        <v>45960</v>
      </c>
      <c r="C330" s="0" t="s">
        <v>207</v>
      </c>
      <c r="D330" s="0" t="n">
        <v>25</v>
      </c>
      <c r="E330" s="0" t="s">
        <v>1368</v>
      </c>
      <c r="F330" s="3" t="n">
        <f aca="false">D330*_xlfn.XLOOKUP(C330,Item_Master!A:A,Item_Master!G:G)</f>
        <v>64750</v>
      </c>
      <c r="G330" s="0" t="str">
        <f aca="false">TEXT(B330,"MMM YYYY")</f>
        <v>Oct 2025</v>
      </c>
    </row>
    <row r="331" customFormat="false" ht="15" hidden="false" customHeight="false" outlineLevel="0" collapsed="false">
      <c r="A331" s="0" t="s">
        <v>1369</v>
      </c>
      <c r="B331" s="4" t="n">
        <v>45960</v>
      </c>
      <c r="C331" s="0" t="s">
        <v>247</v>
      </c>
      <c r="D331" s="0" t="n">
        <v>24</v>
      </c>
      <c r="E331" s="0" t="s">
        <v>1370</v>
      </c>
      <c r="F331" s="3" t="n">
        <f aca="false">D331*_xlfn.XLOOKUP(C331,Item_Master!A:A,Item_Master!G:G)</f>
        <v>24000</v>
      </c>
      <c r="G331" s="0" t="str">
        <f aca="false">TEXT(B331,"MMM YYYY")</f>
        <v>Oct 2025</v>
      </c>
    </row>
    <row r="332" customFormat="false" ht="15" hidden="false" customHeight="false" outlineLevel="0" collapsed="false">
      <c r="A332" s="0" t="s">
        <v>1371</v>
      </c>
      <c r="B332" s="4" t="n">
        <v>45960</v>
      </c>
      <c r="C332" s="0" t="s">
        <v>343</v>
      </c>
      <c r="D332" s="0" t="n">
        <v>1</v>
      </c>
      <c r="E332" s="0" t="s">
        <v>1372</v>
      </c>
      <c r="F332" s="3" t="n">
        <f aca="false">D332*_xlfn.XLOOKUP(C332,Item_Master!A:A,Item_Master!G:G)</f>
        <v>1750</v>
      </c>
      <c r="G332" s="0" t="str">
        <f aca="false">TEXT(B332,"MMM YYYY")</f>
        <v>Oct 2025</v>
      </c>
    </row>
    <row r="333" customFormat="false" ht="15" hidden="false" customHeight="false" outlineLevel="0" collapsed="false">
      <c r="A333" s="0" t="s">
        <v>1373</v>
      </c>
      <c r="B333" s="4" t="n">
        <v>45960</v>
      </c>
      <c r="C333" s="0" t="s">
        <v>363</v>
      </c>
      <c r="D333" s="0" t="n">
        <v>7</v>
      </c>
      <c r="E333" s="0" t="s">
        <v>1374</v>
      </c>
      <c r="F333" s="3" t="n">
        <f aca="false">D333*_xlfn.XLOOKUP(C333,Item_Master!A:A,Item_Master!G:G)</f>
        <v>9660</v>
      </c>
      <c r="G333" s="0" t="str">
        <f aca="false">TEXT(B333,"MMM YYYY")</f>
        <v>Oct 2025</v>
      </c>
    </row>
    <row r="334" customFormat="false" ht="15" hidden="false" customHeight="false" outlineLevel="0" collapsed="false">
      <c r="A334" s="0" t="s">
        <v>1375</v>
      </c>
      <c r="B334" s="4" t="n">
        <v>45960</v>
      </c>
      <c r="C334" s="0" t="s">
        <v>407</v>
      </c>
      <c r="D334" s="0" t="n">
        <v>34</v>
      </c>
      <c r="E334" s="0" t="s">
        <v>1376</v>
      </c>
      <c r="F334" s="3" t="n">
        <f aca="false">D334*_xlfn.XLOOKUP(C334,Item_Master!A:A,Item_Master!G:G)</f>
        <v>7140</v>
      </c>
      <c r="G334" s="0" t="str">
        <f aca="false">TEXT(B334,"MMM YYYY")</f>
        <v>Oct 2025</v>
      </c>
    </row>
    <row r="335" customFormat="false" ht="15" hidden="false" customHeight="false" outlineLevel="0" collapsed="false">
      <c r="A335" s="0" t="s">
        <v>1377</v>
      </c>
      <c r="B335" s="4" t="n">
        <v>45960</v>
      </c>
      <c r="C335" s="0" t="s">
        <v>407</v>
      </c>
      <c r="D335" s="0" t="n">
        <v>2</v>
      </c>
      <c r="E335" s="0" t="s">
        <v>1378</v>
      </c>
      <c r="F335" s="3" t="n">
        <f aca="false">D335*_xlfn.XLOOKUP(C335,Item_Master!A:A,Item_Master!G:G)</f>
        <v>420</v>
      </c>
      <c r="G335" s="0" t="str">
        <f aca="false">TEXT(B335,"MMM YYYY")</f>
        <v>Oct 2025</v>
      </c>
    </row>
    <row r="336" customFormat="false" ht="15" hidden="false" customHeight="false" outlineLevel="0" collapsed="false">
      <c r="A336" s="0" t="s">
        <v>1379</v>
      </c>
      <c r="B336" s="4" t="n">
        <v>45960</v>
      </c>
      <c r="C336" s="0" t="s">
        <v>505</v>
      </c>
      <c r="D336" s="0" t="n">
        <v>5</v>
      </c>
      <c r="E336" s="0" t="s">
        <v>1380</v>
      </c>
      <c r="F336" s="3" t="n">
        <f aca="false">D336*_xlfn.XLOOKUP(C336,Item_Master!A:A,Item_Master!G:G)</f>
        <v>4600</v>
      </c>
      <c r="G336" s="0" t="str">
        <f aca="false">TEXT(B336,"MMM YYYY")</f>
        <v>Oct 2025</v>
      </c>
    </row>
    <row r="337" customFormat="false" ht="15" hidden="false" customHeight="false" outlineLevel="0" collapsed="false">
      <c r="A337" s="0" t="s">
        <v>1381</v>
      </c>
      <c r="B337" s="4" t="n">
        <v>45960</v>
      </c>
      <c r="C337" s="0" t="s">
        <v>631</v>
      </c>
      <c r="D337" s="0" t="n">
        <v>12</v>
      </c>
      <c r="E337" s="0" t="s">
        <v>1382</v>
      </c>
      <c r="F337" s="3" t="n">
        <f aca="false">D337*_xlfn.XLOOKUP(C337,Item_Master!A:A,Item_Master!G:G)</f>
        <v>9720</v>
      </c>
      <c r="G337" s="0" t="str">
        <f aca="false">TEXT(B337,"MMM YYYY")</f>
        <v>Oct 2025</v>
      </c>
    </row>
    <row r="338" customFormat="false" ht="15" hidden="false" customHeight="false" outlineLevel="0" collapsed="false">
      <c r="A338" s="0" t="s">
        <v>1383</v>
      </c>
      <c r="B338" s="4" t="n">
        <v>45960</v>
      </c>
      <c r="C338" s="0" t="s">
        <v>702</v>
      </c>
      <c r="D338" s="0" t="n">
        <v>5</v>
      </c>
      <c r="E338" s="0" t="s">
        <v>1384</v>
      </c>
      <c r="F338" s="3" t="n">
        <f aca="false">D338*_xlfn.XLOOKUP(C338,Item_Master!A:A,Item_Master!G:G)</f>
        <v>11550</v>
      </c>
      <c r="G338" s="0" t="str">
        <f aca="false">TEXT(B338,"MMM YYYY")</f>
        <v>Oct 2025</v>
      </c>
    </row>
    <row r="339" customFormat="false" ht="15" hidden="false" customHeight="false" outlineLevel="0" collapsed="false">
      <c r="A339" s="0" t="s">
        <v>1385</v>
      </c>
      <c r="B339" s="4" t="n">
        <v>45961</v>
      </c>
      <c r="C339" s="0" t="s">
        <v>32</v>
      </c>
      <c r="D339" s="0" t="n">
        <v>21</v>
      </c>
      <c r="E339" s="0" t="s">
        <v>1386</v>
      </c>
      <c r="F339" s="3" t="n">
        <f aca="false">D339*_xlfn.XLOOKUP(C339,Item_Master!A:A,Item_Master!G:G)</f>
        <v>85260</v>
      </c>
      <c r="G339" s="0" t="str">
        <f aca="false">TEXT(B339,"MMM YYYY")</f>
        <v>Oct 2025</v>
      </c>
    </row>
    <row r="340" customFormat="false" ht="15" hidden="false" customHeight="false" outlineLevel="0" collapsed="false">
      <c r="A340" s="0" t="s">
        <v>1387</v>
      </c>
      <c r="B340" s="4" t="n">
        <v>45961</v>
      </c>
      <c r="C340" s="0" t="s">
        <v>174</v>
      </c>
      <c r="D340" s="0" t="n">
        <v>2</v>
      </c>
      <c r="E340" s="0" t="s">
        <v>1388</v>
      </c>
      <c r="F340" s="3" t="n">
        <f aca="false">D340*_xlfn.XLOOKUP(C340,Item_Master!A:A,Item_Master!G:G)</f>
        <v>960</v>
      </c>
      <c r="G340" s="0" t="str">
        <f aca="false">TEXT(B340,"MMM YYYY")</f>
        <v>Oct 2025</v>
      </c>
    </row>
    <row r="341" customFormat="false" ht="15" hidden="false" customHeight="false" outlineLevel="0" collapsed="false">
      <c r="A341" s="0" t="s">
        <v>1389</v>
      </c>
      <c r="B341" s="4" t="n">
        <v>45961</v>
      </c>
      <c r="C341" s="0" t="s">
        <v>271</v>
      </c>
      <c r="D341" s="0" t="n">
        <v>4</v>
      </c>
      <c r="E341" s="0" t="s">
        <v>1390</v>
      </c>
      <c r="F341" s="3" t="n">
        <f aca="false">D341*_xlfn.XLOOKUP(C341,Item_Master!A:A,Item_Master!G:G)</f>
        <v>2400</v>
      </c>
      <c r="G341" s="0" t="str">
        <f aca="false">TEXT(B341,"MMM YYYY")</f>
        <v>Oct 2025</v>
      </c>
    </row>
    <row r="342" customFormat="false" ht="15" hidden="false" customHeight="false" outlineLevel="0" collapsed="false">
      <c r="A342" s="0" t="s">
        <v>1391</v>
      </c>
      <c r="B342" s="4" t="n">
        <v>45961</v>
      </c>
      <c r="C342" s="0" t="s">
        <v>283</v>
      </c>
      <c r="D342" s="0" t="n">
        <v>22</v>
      </c>
      <c r="E342" s="0" t="s">
        <v>1392</v>
      </c>
      <c r="F342" s="3" t="n">
        <f aca="false">D342*_xlfn.XLOOKUP(C342,Item_Master!A:A,Item_Master!G:G)</f>
        <v>417340</v>
      </c>
      <c r="G342" s="0" t="str">
        <f aca="false">TEXT(B342,"MMM YYYY")</f>
        <v>Oct 2025</v>
      </c>
    </row>
    <row r="343" customFormat="false" ht="15" hidden="false" customHeight="false" outlineLevel="0" collapsed="false">
      <c r="A343" s="0" t="s">
        <v>1393</v>
      </c>
      <c r="B343" s="4" t="n">
        <v>45961</v>
      </c>
      <c r="C343" s="0" t="s">
        <v>413</v>
      </c>
      <c r="D343" s="0" t="n">
        <v>14</v>
      </c>
      <c r="E343" s="0" t="s">
        <v>1394</v>
      </c>
      <c r="F343" s="3" t="n">
        <f aca="false">D343*_xlfn.XLOOKUP(C343,Item_Master!A:A,Item_Master!G:G)</f>
        <v>16660</v>
      </c>
      <c r="G343" s="0" t="str">
        <f aca="false">TEXT(B343,"MMM YYYY")</f>
        <v>Oct 2025</v>
      </c>
    </row>
    <row r="344" customFormat="false" ht="15" hidden="false" customHeight="false" outlineLevel="0" collapsed="false">
      <c r="A344" s="0" t="s">
        <v>1395</v>
      </c>
      <c r="B344" s="4" t="n">
        <v>45961</v>
      </c>
      <c r="C344" s="0" t="s">
        <v>469</v>
      </c>
      <c r="D344" s="0" t="n">
        <v>19</v>
      </c>
      <c r="E344" s="0" t="s">
        <v>1396</v>
      </c>
      <c r="F344" s="3" t="n">
        <f aca="false">D344*_xlfn.XLOOKUP(C344,Item_Master!A:A,Item_Master!G:G)</f>
        <v>79040</v>
      </c>
      <c r="G344" s="0" t="str">
        <f aca="false">TEXT(B344,"MMM YYYY")</f>
        <v>Oct 2025</v>
      </c>
    </row>
    <row r="345" customFormat="false" ht="15" hidden="false" customHeight="false" outlineLevel="0" collapsed="false">
      <c r="A345" s="0" t="s">
        <v>1397</v>
      </c>
      <c r="B345" s="4" t="n">
        <v>45961</v>
      </c>
      <c r="C345" s="0" t="s">
        <v>482</v>
      </c>
      <c r="D345" s="0" t="n">
        <v>2</v>
      </c>
      <c r="E345" s="0" t="s">
        <v>1398</v>
      </c>
      <c r="F345" s="3" t="n">
        <f aca="false">D345*_xlfn.XLOOKUP(C345,Item_Master!A:A,Item_Master!G:G)</f>
        <v>2440</v>
      </c>
      <c r="G345" s="0" t="str">
        <f aca="false">TEXT(B345,"MMM YYYY")</f>
        <v>Oct 2025</v>
      </c>
    </row>
    <row r="346" customFormat="false" ht="15" hidden="false" customHeight="false" outlineLevel="0" collapsed="false">
      <c r="A346" s="0" t="s">
        <v>1399</v>
      </c>
      <c r="B346" s="4" t="n">
        <v>45961</v>
      </c>
      <c r="C346" s="0" t="s">
        <v>515</v>
      </c>
      <c r="D346" s="0" t="n">
        <v>22</v>
      </c>
      <c r="E346" s="0" t="s">
        <v>1400</v>
      </c>
      <c r="F346" s="3" t="n">
        <f aca="false">D346*_xlfn.XLOOKUP(C346,Item_Master!A:A,Item_Master!G:G)</f>
        <v>20680</v>
      </c>
      <c r="G346" s="0" t="str">
        <f aca="false">TEXT(B346,"MMM YYYY")</f>
        <v>Oct 2025</v>
      </c>
    </row>
    <row r="347" customFormat="false" ht="15" hidden="false" customHeight="false" outlineLevel="0" collapsed="false">
      <c r="A347" s="0" t="s">
        <v>1401</v>
      </c>
      <c r="B347" s="4" t="n">
        <v>45961</v>
      </c>
      <c r="C347" s="0" t="s">
        <v>557</v>
      </c>
      <c r="D347" s="0" t="n">
        <v>17</v>
      </c>
      <c r="E347" s="0" t="s">
        <v>1402</v>
      </c>
      <c r="F347" s="3" t="n">
        <f aca="false">D347*_xlfn.XLOOKUP(C347,Item_Master!A:A,Item_Master!G:G)</f>
        <v>18360</v>
      </c>
      <c r="G347" s="0" t="str">
        <f aca="false">TEXT(B347,"MMM YYYY")</f>
        <v>Oct 2025</v>
      </c>
    </row>
    <row r="348" customFormat="false" ht="15" hidden="false" customHeight="false" outlineLevel="0" collapsed="false">
      <c r="A348" s="0" t="s">
        <v>1403</v>
      </c>
      <c r="B348" s="4" t="n">
        <v>45961</v>
      </c>
      <c r="C348" s="0" t="s">
        <v>647</v>
      </c>
      <c r="D348" s="0" t="n">
        <v>27</v>
      </c>
      <c r="E348" s="0" t="s">
        <v>1404</v>
      </c>
      <c r="F348" s="3" t="n">
        <f aca="false">D348*_xlfn.XLOOKUP(C348,Item_Master!A:A,Item_Master!G:G)</f>
        <v>17010</v>
      </c>
      <c r="G348" s="0" t="str">
        <f aca="false">TEXT(B348,"MMM YYYY")</f>
        <v>Oct 2025</v>
      </c>
    </row>
    <row r="349" customFormat="false" ht="15" hidden="false" customHeight="false" outlineLevel="0" collapsed="false">
      <c r="A349" s="0" t="s">
        <v>1405</v>
      </c>
      <c r="B349" s="4" t="n">
        <v>45961</v>
      </c>
      <c r="C349" s="0" t="s">
        <v>648</v>
      </c>
      <c r="D349" s="0" t="n">
        <v>19</v>
      </c>
      <c r="E349" s="0" t="s">
        <v>1406</v>
      </c>
      <c r="F349" s="3" t="n">
        <f aca="false">D349*_xlfn.XLOOKUP(C349,Item_Master!A:A,Item_Master!G:G)</f>
        <v>441750</v>
      </c>
      <c r="G349" s="0" t="str">
        <f aca="false">TEXT(B349,"MMM YYYY")</f>
        <v>Oct 2025</v>
      </c>
    </row>
    <row r="350" customFormat="false" ht="15" hidden="false" customHeight="false" outlineLevel="0" collapsed="false">
      <c r="A350" s="0" t="s">
        <v>1407</v>
      </c>
      <c r="B350" s="4" t="n">
        <v>45962</v>
      </c>
      <c r="C350" s="0" t="s">
        <v>13</v>
      </c>
      <c r="D350" s="0" t="n">
        <v>7</v>
      </c>
      <c r="E350" s="0" t="s">
        <v>1408</v>
      </c>
      <c r="F350" s="3" t="n">
        <f aca="false">D350*_xlfn.XLOOKUP(C350,Item_Master!A:A,Item_Master!G:G)</f>
        <v>14840</v>
      </c>
      <c r="G350" s="0" t="str">
        <f aca="false">TEXT(B350,"MMM YYYY")</f>
        <v>Nov 2025</v>
      </c>
    </row>
    <row r="351" customFormat="false" ht="15" hidden="false" customHeight="false" outlineLevel="0" collapsed="false">
      <c r="A351" s="0" t="s">
        <v>1409</v>
      </c>
      <c r="B351" s="4" t="n">
        <v>45962</v>
      </c>
      <c r="C351" s="0" t="s">
        <v>17</v>
      </c>
      <c r="D351" s="0" t="n">
        <v>5</v>
      </c>
      <c r="E351" s="0" t="s">
        <v>1410</v>
      </c>
      <c r="F351" s="3" t="n">
        <f aca="false">D351*_xlfn.XLOOKUP(C351,Item_Master!A:A,Item_Master!G:G)</f>
        <v>4650</v>
      </c>
      <c r="G351" s="0" t="str">
        <f aca="false">TEXT(B351,"MMM YYYY")</f>
        <v>Nov 2025</v>
      </c>
    </row>
    <row r="352" customFormat="false" ht="15" hidden="false" customHeight="false" outlineLevel="0" collapsed="false">
      <c r="A352" s="0" t="s">
        <v>1411</v>
      </c>
      <c r="B352" s="4" t="n">
        <v>45962</v>
      </c>
      <c r="C352" s="0" t="s">
        <v>79</v>
      </c>
      <c r="D352" s="0" t="n">
        <v>5</v>
      </c>
      <c r="E352" s="0" t="s">
        <v>1412</v>
      </c>
      <c r="F352" s="3" t="n">
        <f aca="false">D352*_xlfn.XLOOKUP(C352,Item_Master!A:A,Item_Master!G:G)</f>
        <v>10800</v>
      </c>
      <c r="G352" s="0" t="str">
        <f aca="false">TEXT(B352,"MMM YYYY")</f>
        <v>Nov 2025</v>
      </c>
    </row>
    <row r="353" customFormat="false" ht="15" hidden="false" customHeight="false" outlineLevel="0" collapsed="false">
      <c r="A353" s="0" t="s">
        <v>1413</v>
      </c>
      <c r="B353" s="4" t="n">
        <v>45962</v>
      </c>
      <c r="C353" s="0" t="s">
        <v>92</v>
      </c>
      <c r="D353" s="0" t="n">
        <v>1</v>
      </c>
      <c r="E353" s="0" t="s">
        <v>1414</v>
      </c>
      <c r="F353" s="3" t="n">
        <f aca="false">D353*_xlfn.XLOOKUP(C353,Item_Master!A:A,Item_Master!G:G)</f>
        <v>2430</v>
      </c>
      <c r="G353" s="0" t="str">
        <f aca="false">TEXT(B353,"MMM YYYY")</f>
        <v>Nov 2025</v>
      </c>
    </row>
    <row r="354" customFormat="false" ht="15" hidden="false" customHeight="false" outlineLevel="0" collapsed="false">
      <c r="A354" s="0" t="s">
        <v>1415</v>
      </c>
      <c r="B354" s="4" t="n">
        <v>45962</v>
      </c>
      <c r="C354" s="0" t="s">
        <v>146</v>
      </c>
      <c r="D354" s="0" t="n">
        <v>1</v>
      </c>
      <c r="E354" s="0" t="s">
        <v>1416</v>
      </c>
      <c r="F354" s="3" t="n">
        <f aca="false">D354*_xlfn.XLOOKUP(C354,Item_Master!A:A,Item_Master!G:G)</f>
        <v>2760</v>
      </c>
      <c r="G354" s="0" t="str">
        <f aca="false">TEXT(B354,"MMM YYYY")</f>
        <v>Nov 2025</v>
      </c>
    </row>
    <row r="355" customFormat="false" ht="15" hidden="false" customHeight="false" outlineLevel="0" collapsed="false">
      <c r="A355" s="0" t="s">
        <v>1417</v>
      </c>
      <c r="B355" s="4" t="n">
        <v>45962</v>
      </c>
      <c r="C355" s="0" t="s">
        <v>160</v>
      </c>
      <c r="D355" s="0" t="n">
        <v>12</v>
      </c>
      <c r="E355" s="0" t="s">
        <v>1418</v>
      </c>
      <c r="F355" s="3" t="n">
        <f aca="false">D355*_xlfn.XLOOKUP(C355,Item_Master!A:A,Item_Master!G:G)</f>
        <v>9240</v>
      </c>
      <c r="G355" s="0" t="str">
        <f aca="false">TEXT(B355,"MMM YYYY")</f>
        <v>Nov 2025</v>
      </c>
    </row>
    <row r="356" customFormat="false" ht="15" hidden="false" customHeight="false" outlineLevel="0" collapsed="false">
      <c r="A356" s="0" t="s">
        <v>1419</v>
      </c>
      <c r="B356" s="4" t="n">
        <v>45962</v>
      </c>
      <c r="C356" s="0" t="s">
        <v>200</v>
      </c>
      <c r="D356" s="0" t="n">
        <v>39</v>
      </c>
      <c r="E356" s="0" t="s">
        <v>1420</v>
      </c>
      <c r="F356" s="3" t="n">
        <f aca="false">D356*_xlfn.XLOOKUP(C356,Item_Master!A:A,Item_Master!G:G)</f>
        <v>40560</v>
      </c>
      <c r="G356" s="0" t="str">
        <f aca="false">TEXT(B356,"MMM YYYY")</f>
        <v>Nov 2025</v>
      </c>
    </row>
    <row r="357" customFormat="false" ht="15" hidden="false" customHeight="false" outlineLevel="0" collapsed="false">
      <c r="A357" s="0" t="s">
        <v>1421</v>
      </c>
      <c r="B357" s="4" t="n">
        <v>45962</v>
      </c>
      <c r="C357" s="0" t="s">
        <v>202</v>
      </c>
      <c r="D357" s="0" t="n">
        <v>1</v>
      </c>
      <c r="E357" s="0" t="s">
        <v>1422</v>
      </c>
      <c r="F357" s="3" t="n">
        <f aca="false">D357*_xlfn.XLOOKUP(C357,Item_Master!A:A,Item_Master!G:G)</f>
        <v>1630</v>
      </c>
      <c r="G357" s="0" t="str">
        <f aca="false">TEXT(B357,"MMM YYYY")</f>
        <v>Nov 2025</v>
      </c>
    </row>
    <row r="358" customFormat="false" ht="15" hidden="false" customHeight="false" outlineLevel="0" collapsed="false">
      <c r="A358" s="0" t="s">
        <v>1423</v>
      </c>
      <c r="B358" s="4" t="n">
        <v>45962</v>
      </c>
      <c r="C358" s="0" t="s">
        <v>241</v>
      </c>
      <c r="D358" s="0" t="n">
        <v>19</v>
      </c>
      <c r="E358" s="0" t="s">
        <v>1424</v>
      </c>
      <c r="F358" s="3" t="n">
        <f aca="false">D358*_xlfn.XLOOKUP(C358,Item_Master!A:A,Item_Master!G:G)</f>
        <v>51680</v>
      </c>
      <c r="G358" s="0" t="str">
        <f aca="false">TEXT(B358,"MMM YYYY")</f>
        <v>Nov 2025</v>
      </c>
    </row>
    <row r="359" customFormat="false" ht="15" hidden="false" customHeight="false" outlineLevel="0" collapsed="false">
      <c r="A359" s="0" t="s">
        <v>1425</v>
      </c>
      <c r="B359" s="4" t="n">
        <v>45962</v>
      </c>
      <c r="C359" s="0" t="s">
        <v>287</v>
      </c>
      <c r="D359" s="0" t="n">
        <v>1</v>
      </c>
      <c r="E359" s="0" t="s">
        <v>1426</v>
      </c>
      <c r="F359" s="3" t="n">
        <f aca="false">D359*_xlfn.XLOOKUP(C359,Item_Master!A:A,Item_Master!G:G)</f>
        <v>10540</v>
      </c>
      <c r="G359" s="0" t="str">
        <f aca="false">TEXT(B359,"MMM YYYY")</f>
        <v>Nov 2025</v>
      </c>
    </row>
    <row r="360" customFormat="false" ht="15" hidden="false" customHeight="false" outlineLevel="0" collapsed="false">
      <c r="A360" s="0" t="s">
        <v>1427</v>
      </c>
      <c r="B360" s="4" t="n">
        <v>45962</v>
      </c>
      <c r="C360" s="0" t="s">
        <v>306</v>
      </c>
      <c r="D360" s="0" t="n">
        <v>21</v>
      </c>
      <c r="E360" s="0" t="s">
        <v>1428</v>
      </c>
      <c r="F360" s="3" t="n">
        <f aca="false">D360*_xlfn.XLOOKUP(C360,Item_Master!A:A,Item_Master!G:G)</f>
        <v>21420</v>
      </c>
      <c r="G360" s="0" t="str">
        <f aca="false">TEXT(B360,"MMM YYYY")</f>
        <v>Nov 2025</v>
      </c>
    </row>
    <row r="361" customFormat="false" ht="15" hidden="false" customHeight="false" outlineLevel="0" collapsed="false">
      <c r="A361" s="0" t="s">
        <v>1429</v>
      </c>
      <c r="B361" s="4" t="n">
        <v>45962</v>
      </c>
      <c r="C361" s="0" t="s">
        <v>404</v>
      </c>
      <c r="D361" s="0" t="n">
        <v>30</v>
      </c>
      <c r="E361" s="0" t="s">
        <v>1430</v>
      </c>
      <c r="F361" s="3" t="n">
        <f aca="false">D361*_xlfn.XLOOKUP(C361,Item_Master!A:A,Item_Master!G:G)</f>
        <v>52800</v>
      </c>
      <c r="G361" s="0" t="str">
        <f aca="false">TEXT(B361,"MMM YYYY")</f>
        <v>Nov 2025</v>
      </c>
    </row>
    <row r="362" customFormat="false" ht="15" hidden="false" customHeight="false" outlineLevel="0" collapsed="false">
      <c r="A362" s="0" t="s">
        <v>1431</v>
      </c>
      <c r="B362" s="4" t="n">
        <v>45962</v>
      </c>
      <c r="C362" s="0" t="s">
        <v>409</v>
      </c>
      <c r="D362" s="0" t="n">
        <v>17</v>
      </c>
      <c r="E362" s="0" t="s">
        <v>1432</v>
      </c>
      <c r="F362" s="3" t="n">
        <f aca="false">D362*_xlfn.XLOOKUP(C362,Item_Master!A:A,Item_Master!G:G)</f>
        <v>74970</v>
      </c>
      <c r="G362" s="0" t="str">
        <f aca="false">TEXT(B362,"MMM YYYY")</f>
        <v>Nov 2025</v>
      </c>
    </row>
    <row r="363" customFormat="false" ht="15" hidden="false" customHeight="false" outlineLevel="0" collapsed="false">
      <c r="A363" s="0" t="s">
        <v>1433</v>
      </c>
      <c r="B363" s="4" t="n">
        <v>45962</v>
      </c>
      <c r="C363" s="0" t="s">
        <v>470</v>
      </c>
      <c r="D363" s="0" t="n">
        <v>38</v>
      </c>
      <c r="E363" s="0" t="s">
        <v>1434</v>
      </c>
      <c r="F363" s="3" t="n">
        <f aca="false">D363*_xlfn.XLOOKUP(C363,Item_Master!A:A,Item_Master!G:G)</f>
        <v>52060</v>
      </c>
      <c r="G363" s="0" t="str">
        <f aca="false">TEXT(B363,"MMM YYYY")</f>
        <v>Nov 2025</v>
      </c>
    </row>
    <row r="364" customFormat="false" ht="15" hidden="false" customHeight="false" outlineLevel="0" collapsed="false">
      <c r="A364" s="0" t="s">
        <v>1435</v>
      </c>
      <c r="B364" s="4" t="n">
        <v>45962</v>
      </c>
      <c r="C364" s="0" t="s">
        <v>579</v>
      </c>
      <c r="D364" s="0" t="n">
        <v>7</v>
      </c>
      <c r="E364" s="0" t="s">
        <v>1436</v>
      </c>
      <c r="F364" s="3" t="n">
        <f aca="false">D364*_xlfn.XLOOKUP(C364,Item_Master!A:A,Item_Master!G:G)</f>
        <v>13160</v>
      </c>
      <c r="G364" s="0" t="str">
        <f aca="false">TEXT(B364,"MMM YYYY")</f>
        <v>Nov 2025</v>
      </c>
    </row>
    <row r="365" customFormat="false" ht="15" hidden="false" customHeight="false" outlineLevel="0" collapsed="false">
      <c r="A365" s="0" t="s">
        <v>1437</v>
      </c>
      <c r="B365" s="4" t="n">
        <v>45962</v>
      </c>
      <c r="C365" s="0" t="s">
        <v>580</v>
      </c>
      <c r="D365" s="0" t="n">
        <v>3</v>
      </c>
      <c r="E365" s="0" t="s">
        <v>1438</v>
      </c>
      <c r="F365" s="3" t="n">
        <f aca="false">D365*_xlfn.XLOOKUP(C365,Item_Master!A:A,Item_Master!G:G)</f>
        <v>72540</v>
      </c>
      <c r="G365" s="0" t="str">
        <f aca="false">TEXT(B365,"MMM YYYY")</f>
        <v>Nov 2025</v>
      </c>
    </row>
    <row r="366" customFormat="false" ht="15" hidden="false" customHeight="false" outlineLevel="0" collapsed="false">
      <c r="A366" s="0" t="s">
        <v>1439</v>
      </c>
      <c r="B366" s="4" t="n">
        <v>45962</v>
      </c>
      <c r="C366" s="0" t="s">
        <v>582</v>
      </c>
      <c r="D366" s="0" t="n">
        <v>38</v>
      </c>
      <c r="E366" s="0" t="s">
        <v>1440</v>
      </c>
      <c r="F366" s="3" t="n">
        <f aca="false">D366*_xlfn.XLOOKUP(C366,Item_Master!A:A,Item_Master!G:G)</f>
        <v>733020</v>
      </c>
      <c r="G366" s="0" t="str">
        <f aca="false">TEXT(B366,"MMM YYYY")</f>
        <v>Nov 2025</v>
      </c>
    </row>
    <row r="367" customFormat="false" ht="15" hidden="false" customHeight="false" outlineLevel="0" collapsed="false">
      <c r="A367" s="0" t="s">
        <v>1441</v>
      </c>
      <c r="B367" s="4" t="n">
        <v>45962</v>
      </c>
      <c r="C367" s="0" t="s">
        <v>584</v>
      </c>
      <c r="D367" s="0" t="n">
        <v>4</v>
      </c>
      <c r="E367" s="0" t="s">
        <v>1442</v>
      </c>
      <c r="F367" s="3" t="n">
        <f aca="false">D367*_xlfn.XLOOKUP(C367,Item_Master!A:A,Item_Master!G:G)</f>
        <v>33120</v>
      </c>
      <c r="G367" s="0" t="str">
        <f aca="false">TEXT(B367,"MMM YYYY")</f>
        <v>Nov 2025</v>
      </c>
    </row>
    <row r="368" customFormat="false" ht="15" hidden="false" customHeight="false" outlineLevel="0" collapsed="false">
      <c r="A368" s="0" t="s">
        <v>1443</v>
      </c>
      <c r="B368" s="4" t="n">
        <v>45962</v>
      </c>
      <c r="C368" s="0" t="s">
        <v>649</v>
      </c>
      <c r="D368" s="0" t="n">
        <v>8</v>
      </c>
      <c r="E368" s="0" t="s">
        <v>1444</v>
      </c>
      <c r="F368" s="3" t="n">
        <f aca="false">D368*_xlfn.XLOOKUP(C368,Item_Master!A:A,Item_Master!G:G)</f>
        <v>12800</v>
      </c>
      <c r="G368" s="0" t="str">
        <f aca="false">TEXT(B368,"MMM YYYY")</f>
        <v>Nov 2025</v>
      </c>
    </row>
    <row r="369" customFormat="false" ht="15" hidden="false" customHeight="false" outlineLevel="0" collapsed="false">
      <c r="A369" s="0" t="s">
        <v>1445</v>
      </c>
      <c r="B369" s="4" t="n">
        <v>45962</v>
      </c>
      <c r="C369" s="0" t="s">
        <v>663</v>
      </c>
      <c r="D369" s="0" t="n">
        <v>23</v>
      </c>
      <c r="E369" s="0" t="s">
        <v>1446</v>
      </c>
      <c r="F369" s="3" t="n">
        <f aca="false">D369*_xlfn.XLOOKUP(C369,Item_Master!A:A,Item_Master!G:G)</f>
        <v>13340</v>
      </c>
      <c r="G369" s="0" t="str">
        <f aca="false">TEXT(B369,"MMM YYYY")</f>
        <v>Nov 2025</v>
      </c>
    </row>
    <row r="370" customFormat="false" ht="15" hidden="false" customHeight="false" outlineLevel="0" collapsed="false">
      <c r="A370" s="0" t="s">
        <v>1447</v>
      </c>
      <c r="B370" s="4" t="n">
        <v>45963</v>
      </c>
      <c r="C370" s="0" t="s">
        <v>51</v>
      </c>
      <c r="D370" s="0" t="n">
        <v>3</v>
      </c>
      <c r="E370" s="0" t="s">
        <v>1448</v>
      </c>
      <c r="F370" s="3" t="n">
        <f aca="false">D370*_xlfn.XLOOKUP(C370,Item_Master!A:A,Item_Master!G:G)</f>
        <v>37680</v>
      </c>
      <c r="G370" s="0" t="str">
        <f aca="false">TEXT(B370,"MMM YYYY")</f>
        <v>Nov 2025</v>
      </c>
    </row>
    <row r="371" customFormat="false" ht="15" hidden="false" customHeight="false" outlineLevel="0" collapsed="false">
      <c r="A371" s="0" t="s">
        <v>1449</v>
      </c>
      <c r="B371" s="4" t="n">
        <v>45963</v>
      </c>
      <c r="C371" s="0" t="s">
        <v>251</v>
      </c>
      <c r="D371" s="0" t="n">
        <v>5</v>
      </c>
      <c r="E371" s="0" t="s">
        <v>1450</v>
      </c>
      <c r="F371" s="3" t="n">
        <f aca="false">D371*_xlfn.XLOOKUP(C371,Item_Master!A:A,Item_Master!G:G)</f>
        <v>850</v>
      </c>
      <c r="G371" s="0" t="str">
        <f aca="false">TEXT(B371,"MMM YYYY")</f>
        <v>Nov 2025</v>
      </c>
    </row>
    <row r="372" customFormat="false" ht="15" hidden="false" customHeight="false" outlineLevel="0" collapsed="false">
      <c r="A372" s="0" t="s">
        <v>1451</v>
      </c>
      <c r="B372" s="4" t="n">
        <v>45963</v>
      </c>
      <c r="C372" s="0" t="s">
        <v>265</v>
      </c>
      <c r="D372" s="0" t="n">
        <v>26</v>
      </c>
      <c r="E372" s="0" t="s">
        <v>1452</v>
      </c>
      <c r="F372" s="3" t="n">
        <f aca="false">D372*_xlfn.XLOOKUP(C372,Item_Master!A:A,Item_Master!G:G)</f>
        <v>7020</v>
      </c>
      <c r="G372" s="0" t="str">
        <f aca="false">TEXT(B372,"MMM YYYY")</f>
        <v>Nov 2025</v>
      </c>
    </row>
    <row r="373" customFormat="false" ht="15" hidden="false" customHeight="false" outlineLevel="0" collapsed="false">
      <c r="A373" s="0" t="s">
        <v>1453</v>
      </c>
      <c r="B373" s="4" t="n">
        <v>45963</v>
      </c>
      <c r="C373" s="0" t="s">
        <v>269</v>
      </c>
      <c r="D373" s="0" t="n">
        <v>2</v>
      </c>
      <c r="E373" s="0" t="s">
        <v>1454</v>
      </c>
      <c r="F373" s="3" t="n">
        <f aca="false">D373*_xlfn.XLOOKUP(C373,Item_Master!A:A,Item_Master!G:G)</f>
        <v>4820</v>
      </c>
      <c r="G373" s="0" t="str">
        <f aca="false">TEXT(B373,"MMM YYYY")</f>
        <v>Nov 2025</v>
      </c>
    </row>
    <row r="374" customFormat="false" ht="15" hidden="false" customHeight="false" outlineLevel="0" collapsed="false">
      <c r="A374" s="0" t="s">
        <v>1455</v>
      </c>
      <c r="B374" s="4" t="n">
        <v>45963</v>
      </c>
      <c r="C374" s="0" t="s">
        <v>273</v>
      </c>
      <c r="D374" s="0" t="n">
        <v>1</v>
      </c>
      <c r="E374" s="0" t="s">
        <v>1456</v>
      </c>
      <c r="F374" s="3" t="n">
        <f aca="false">D374*_xlfn.XLOOKUP(C374,Item_Master!A:A,Item_Master!G:G)</f>
        <v>2240</v>
      </c>
      <c r="G374" s="0" t="str">
        <f aca="false">TEXT(B374,"MMM YYYY")</f>
        <v>Nov 2025</v>
      </c>
    </row>
    <row r="375" customFormat="false" ht="15" hidden="false" customHeight="false" outlineLevel="0" collapsed="false">
      <c r="A375" s="0" t="s">
        <v>1457</v>
      </c>
      <c r="B375" s="4" t="n">
        <v>45963</v>
      </c>
      <c r="C375" s="0" t="s">
        <v>310</v>
      </c>
      <c r="D375" s="0" t="n">
        <v>12</v>
      </c>
      <c r="E375" s="0" t="s">
        <v>1458</v>
      </c>
      <c r="F375" s="3" t="n">
        <f aca="false">D375*_xlfn.XLOOKUP(C375,Item_Master!A:A,Item_Master!G:G)</f>
        <v>7320</v>
      </c>
      <c r="G375" s="0" t="str">
        <f aca="false">TEXT(B375,"MMM YYYY")</f>
        <v>Nov 2025</v>
      </c>
    </row>
    <row r="376" customFormat="false" ht="15" hidden="false" customHeight="false" outlineLevel="0" collapsed="false">
      <c r="A376" s="0" t="s">
        <v>1459</v>
      </c>
      <c r="B376" s="4" t="n">
        <v>45963</v>
      </c>
      <c r="C376" s="0" t="s">
        <v>482</v>
      </c>
      <c r="D376" s="0" t="n">
        <v>29</v>
      </c>
      <c r="E376" s="0" t="s">
        <v>1460</v>
      </c>
      <c r="F376" s="3" t="n">
        <f aca="false">D376*_xlfn.XLOOKUP(C376,Item_Master!A:A,Item_Master!G:G)</f>
        <v>35380</v>
      </c>
      <c r="G376" s="0" t="str">
        <f aca="false">TEXT(B376,"MMM YYYY")</f>
        <v>Nov 2025</v>
      </c>
    </row>
    <row r="377" customFormat="false" ht="15" hidden="false" customHeight="false" outlineLevel="0" collapsed="false">
      <c r="A377" s="0" t="s">
        <v>1461</v>
      </c>
      <c r="B377" s="4" t="n">
        <v>45963</v>
      </c>
      <c r="C377" s="0" t="s">
        <v>577</v>
      </c>
      <c r="D377" s="0" t="n">
        <v>39</v>
      </c>
      <c r="E377" s="0" t="s">
        <v>1462</v>
      </c>
      <c r="F377" s="3" t="n">
        <f aca="false">D377*_xlfn.XLOOKUP(C377,Item_Master!A:A,Item_Master!G:G)</f>
        <v>54210</v>
      </c>
      <c r="G377" s="0" t="str">
        <f aca="false">TEXT(B377,"MMM YYYY")</f>
        <v>Nov 2025</v>
      </c>
    </row>
    <row r="378" customFormat="false" ht="15" hidden="false" customHeight="false" outlineLevel="0" collapsed="false">
      <c r="A378" s="0" t="s">
        <v>1463</v>
      </c>
      <c r="B378" s="4" t="n">
        <v>45963</v>
      </c>
      <c r="C378" s="0" t="s">
        <v>686</v>
      </c>
      <c r="D378" s="0" t="n">
        <v>21</v>
      </c>
      <c r="E378" s="0" t="s">
        <v>1464</v>
      </c>
      <c r="F378" s="3" t="n">
        <f aca="false">D378*_xlfn.XLOOKUP(C378,Item_Master!A:A,Item_Master!G:G)</f>
        <v>73290</v>
      </c>
      <c r="G378" s="0" t="str">
        <f aca="false">TEXT(B378,"MMM YYYY")</f>
        <v>Nov 2025</v>
      </c>
    </row>
    <row r="379" customFormat="false" ht="15" hidden="false" customHeight="false" outlineLevel="0" collapsed="false">
      <c r="A379" s="0" t="s">
        <v>1465</v>
      </c>
      <c r="B379" s="4" t="n">
        <v>45964</v>
      </c>
      <c r="C379" s="0" t="s">
        <v>21</v>
      </c>
      <c r="D379" s="0" t="n">
        <v>29</v>
      </c>
      <c r="E379" s="0" t="s">
        <v>1466</v>
      </c>
      <c r="F379" s="3" t="n">
        <f aca="false">D379*_xlfn.XLOOKUP(C379,Item_Master!A:A,Item_Master!G:G)</f>
        <v>38570</v>
      </c>
      <c r="G379" s="0" t="str">
        <f aca="false">TEXT(B379,"MMM YYYY")</f>
        <v>Nov 2025</v>
      </c>
    </row>
    <row r="380" customFormat="false" ht="15" hidden="false" customHeight="false" outlineLevel="0" collapsed="false">
      <c r="A380" s="0" t="s">
        <v>1467</v>
      </c>
      <c r="B380" s="4" t="n">
        <v>45964</v>
      </c>
      <c r="C380" s="0" t="s">
        <v>269</v>
      </c>
      <c r="D380" s="0" t="n">
        <v>2</v>
      </c>
      <c r="E380" s="0" t="s">
        <v>1468</v>
      </c>
      <c r="F380" s="3" t="n">
        <f aca="false">D380*_xlfn.XLOOKUP(C380,Item_Master!A:A,Item_Master!G:G)</f>
        <v>4820</v>
      </c>
      <c r="G380" s="0" t="str">
        <f aca="false">TEXT(B380,"MMM YYYY")</f>
        <v>Nov 2025</v>
      </c>
    </row>
    <row r="381" customFormat="false" ht="15" hidden="false" customHeight="false" outlineLevel="0" collapsed="false">
      <c r="A381" s="0" t="s">
        <v>1469</v>
      </c>
      <c r="B381" s="4" t="n">
        <v>45964</v>
      </c>
      <c r="C381" s="0" t="s">
        <v>341</v>
      </c>
      <c r="D381" s="0" t="n">
        <v>28</v>
      </c>
      <c r="E381" s="0" t="s">
        <v>1470</v>
      </c>
      <c r="F381" s="3" t="n">
        <f aca="false">D381*_xlfn.XLOOKUP(C381,Item_Master!A:A,Item_Master!G:G)</f>
        <v>19600</v>
      </c>
      <c r="G381" s="0" t="str">
        <f aca="false">TEXT(B381,"MMM YYYY")</f>
        <v>Nov 2025</v>
      </c>
    </row>
    <row r="382" customFormat="false" ht="15" hidden="false" customHeight="false" outlineLevel="0" collapsed="false">
      <c r="A382" s="0" t="s">
        <v>1471</v>
      </c>
      <c r="B382" s="4" t="n">
        <v>45964</v>
      </c>
      <c r="C382" s="0" t="s">
        <v>357</v>
      </c>
      <c r="D382" s="0" t="n">
        <v>18</v>
      </c>
      <c r="E382" s="0" t="s">
        <v>1472</v>
      </c>
      <c r="F382" s="3" t="n">
        <f aca="false">D382*_xlfn.XLOOKUP(C382,Item_Master!A:A,Item_Master!G:G)</f>
        <v>197460</v>
      </c>
      <c r="G382" s="0" t="str">
        <f aca="false">TEXT(B382,"MMM YYYY")</f>
        <v>Nov 2025</v>
      </c>
    </row>
    <row r="383" customFormat="false" ht="15" hidden="false" customHeight="false" outlineLevel="0" collapsed="false">
      <c r="A383" s="0" t="s">
        <v>1473</v>
      </c>
      <c r="B383" s="4" t="n">
        <v>45964</v>
      </c>
      <c r="C383" s="0" t="s">
        <v>384</v>
      </c>
      <c r="D383" s="0" t="n">
        <v>23</v>
      </c>
      <c r="E383" s="0" t="s">
        <v>1474</v>
      </c>
      <c r="F383" s="3" t="n">
        <f aca="false">D383*_xlfn.XLOOKUP(C383,Item_Master!A:A,Item_Master!G:G)</f>
        <v>37950</v>
      </c>
      <c r="G383" s="0" t="str">
        <f aca="false">TEXT(B383,"MMM YYYY")</f>
        <v>Nov 2025</v>
      </c>
    </row>
    <row r="384" customFormat="false" ht="15" hidden="false" customHeight="false" outlineLevel="0" collapsed="false">
      <c r="A384" s="0" t="s">
        <v>1475</v>
      </c>
      <c r="B384" s="4" t="n">
        <v>45964</v>
      </c>
      <c r="C384" s="0" t="s">
        <v>419</v>
      </c>
      <c r="D384" s="0" t="n">
        <v>26</v>
      </c>
      <c r="E384" s="0" t="s">
        <v>1476</v>
      </c>
      <c r="F384" s="3" t="n">
        <f aca="false">D384*_xlfn.XLOOKUP(C384,Item_Master!A:A,Item_Master!G:G)</f>
        <v>53820</v>
      </c>
      <c r="G384" s="0" t="str">
        <f aca="false">TEXT(B384,"MMM YYYY")</f>
        <v>Nov 2025</v>
      </c>
    </row>
    <row r="385" customFormat="false" ht="15" hidden="false" customHeight="false" outlineLevel="0" collapsed="false">
      <c r="A385" s="0" t="s">
        <v>1477</v>
      </c>
      <c r="B385" s="4" t="n">
        <v>45964</v>
      </c>
      <c r="C385" s="0" t="s">
        <v>428</v>
      </c>
      <c r="D385" s="0" t="n">
        <v>16</v>
      </c>
      <c r="E385" s="0" t="s">
        <v>1478</v>
      </c>
      <c r="F385" s="3" t="n">
        <f aca="false">D385*_xlfn.XLOOKUP(C385,Item_Master!A:A,Item_Master!G:G)</f>
        <v>17920</v>
      </c>
      <c r="G385" s="0" t="str">
        <f aca="false">TEXT(B385,"MMM YYYY")</f>
        <v>Nov 2025</v>
      </c>
    </row>
    <row r="386" customFormat="false" ht="15" hidden="false" customHeight="false" outlineLevel="0" collapsed="false">
      <c r="A386" s="0" t="s">
        <v>1479</v>
      </c>
      <c r="B386" s="4" t="n">
        <v>45964</v>
      </c>
      <c r="C386" s="0" t="s">
        <v>465</v>
      </c>
      <c r="D386" s="0" t="n">
        <v>1</v>
      </c>
      <c r="E386" s="0" t="s">
        <v>1480</v>
      </c>
      <c r="F386" s="3" t="n">
        <f aca="false">D386*_xlfn.XLOOKUP(C386,Item_Master!A:A,Item_Master!G:G)</f>
        <v>2260</v>
      </c>
      <c r="G386" s="0" t="str">
        <f aca="false">TEXT(B386,"MMM YYYY")</f>
        <v>Nov 2025</v>
      </c>
    </row>
    <row r="387" customFormat="false" ht="15" hidden="false" customHeight="false" outlineLevel="0" collapsed="false">
      <c r="A387" s="0" t="s">
        <v>1481</v>
      </c>
      <c r="B387" s="4" t="n">
        <v>45964</v>
      </c>
      <c r="C387" s="0" t="s">
        <v>469</v>
      </c>
      <c r="D387" s="0" t="n">
        <v>15</v>
      </c>
      <c r="E387" s="0" t="s">
        <v>1482</v>
      </c>
      <c r="F387" s="3" t="n">
        <f aca="false">D387*_xlfn.XLOOKUP(C387,Item_Master!A:A,Item_Master!G:G)</f>
        <v>62400</v>
      </c>
      <c r="G387" s="0" t="str">
        <f aca="false">TEXT(B387,"MMM YYYY")</f>
        <v>Nov 2025</v>
      </c>
    </row>
    <row r="388" customFormat="false" ht="15" hidden="false" customHeight="false" outlineLevel="0" collapsed="false">
      <c r="A388" s="0" t="s">
        <v>1483</v>
      </c>
      <c r="B388" s="4" t="n">
        <v>45964</v>
      </c>
      <c r="C388" s="0" t="s">
        <v>490</v>
      </c>
      <c r="D388" s="0" t="n">
        <v>30</v>
      </c>
      <c r="E388" s="0" t="s">
        <v>1484</v>
      </c>
      <c r="F388" s="3" t="n">
        <f aca="false">D388*_xlfn.XLOOKUP(C388,Item_Master!A:A,Item_Master!G:G)</f>
        <v>132600</v>
      </c>
      <c r="G388" s="0" t="str">
        <f aca="false">TEXT(B388,"MMM YYYY")</f>
        <v>Nov 2025</v>
      </c>
    </row>
    <row r="389" customFormat="false" ht="15" hidden="false" customHeight="false" outlineLevel="0" collapsed="false">
      <c r="A389" s="0" t="s">
        <v>1485</v>
      </c>
      <c r="B389" s="4" t="n">
        <v>45964</v>
      </c>
      <c r="C389" s="0" t="s">
        <v>507</v>
      </c>
      <c r="D389" s="0" t="n">
        <v>35</v>
      </c>
      <c r="E389" s="0" t="s">
        <v>1486</v>
      </c>
      <c r="F389" s="3" t="n">
        <f aca="false">D389*_xlfn.XLOOKUP(C389,Item_Master!A:A,Item_Master!G:G)</f>
        <v>15400</v>
      </c>
      <c r="G389" s="0" t="str">
        <f aca="false">TEXT(B389,"MMM YYYY")</f>
        <v>Nov 2025</v>
      </c>
    </row>
    <row r="390" customFormat="false" ht="15" hidden="false" customHeight="false" outlineLevel="0" collapsed="false">
      <c r="A390" s="0" t="s">
        <v>1487</v>
      </c>
      <c r="B390" s="4" t="n">
        <v>45964</v>
      </c>
      <c r="C390" s="0" t="s">
        <v>511</v>
      </c>
      <c r="D390" s="0" t="n">
        <v>10</v>
      </c>
      <c r="E390" s="0" t="s">
        <v>1488</v>
      </c>
      <c r="F390" s="3" t="n">
        <f aca="false">D390*_xlfn.XLOOKUP(C390,Item_Master!A:A,Item_Master!G:G)</f>
        <v>26100</v>
      </c>
      <c r="G390" s="0" t="str">
        <f aca="false">TEXT(B390,"MMM YYYY")</f>
        <v>Nov 2025</v>
      </c>
    </row>
    <row r="391" customFormat="false" ht="15" hidden="false" customHeight="false" outlineLevel="0" collapsed="false">
      <c r="A391" s="0" t="s">
        <v>1489</v>
      </c>
      <c r="B391" s="4" t="n">
        <v>45964</v>
      </c>
      <c r="C391" s="0" t="s">
        <v>529</v>
      </c>
      <c r="D391" s="0" t="n">
        <v>23</v>
      </c>
      <c r="E391" s="0" t="s">
        <v>1490</v>
      </c>
      <c r="F391" s="3" t="n">
        <f aca="false">D391*_xlfn.XLOOKUP(C391,Item_Master!A:A,Item_Master!G:G)</f>
        <v>270480</v>
      </c>
      <c r="G391" s="0" t="str">
        <f aca="false">TEXT(B391,"MMM YYYY")</f>
        <v>Nov 2025</v>
      </c>
    </row>
    <row r="392" customFormat="false" ht="15" hidden="false" customHeight="false" outlineLevel="0" collapsed="false">
      <c r="A392" s="0" t="s">
        <v>1491</v>
      </c>
      <c r="B392" s="4" t="n">
        <v>45964</v>
      </c>
      <c r="C392" s="0" t="s">
        <v>622</v>
      </c>
      <c r="D392" s="0" t="n">
        <v>27</v>
      </c>
      <c r="E392" s="0" t="s">
        <v>1492</v>
      </c>
      <c r="F392" s="3" t="n">
        <f aca="false">D392*_xlfn.XLOOKUP(C392,Item_Master!A:A,Item_Master!G:G)</f>
        <v>29970</v>
      </c>
      <c r="G392" s="0" t="str">
        <f aca="false">TEXT(B392,"MMM YYYY")</f>
        <v>Nov 2025</v>
      </c>
    </row>
    <row r="393" customFormat="false" ht="15" hidden="false" customHeight="false" outlineLevel="0" collapsed="false">
      <c r="A393" s="0" t="s">
        <v>1493</v>
      </c>
      <c r="B393" s="4" t="n">
        <v>45964</v>
      </c>
      <c r="C393" s="0" t="s">
        <v>627</v>
      </c>
      <c r="D393" s="0" t="n">
        <v>3</v>
      </c>
      <c r="E393" s="0" t="s">
        <v>1494</v>
      </c>
      <c r="F393" s="3" t="n">
        <f aca="false">D393*_xlfn.XLOOKUP(C393,Item_Master!A:A,Item_Master!G:G)</f>
        <v>21450</v>
      </c>
      <c r="G393" s="0" t="str">
        <f aca="false">TEXT(B393,"MMM YYYY")</f>
        <v>Nov 2025</v>
      </c>
    </row>
    <row r="394" customFormat="false" ht="15" hidden="false" customHeight="false" outlineLevel="0" collapsed="false">
      <c r="A394" s="0" t="s">
        <v>1495</v>
      </c>
      <c r="B394" s="4" t="n">
        <v>45964</v>
      </c>
      <c r="C394" s="0" t="s">
        <v>641</v>
      </c>
      <c r="D394" s="0" t="n">
        <v>20</v>
      </c>
      <c r="E394" s="0" t="s">
        <v>1496</v>
      </c>
      <c r="F394" s="3" t="n">
        <f aca="false">D394*_xlfn.XLOOKUP(C394,Item_Master!A:A,Item_Master!G:G)</f>
        <v>42400</v>
      </c>
      <c r="G394" s="0" t="str">
        <f aca="false">TEXT(B394,"MMM YYYY")</f>
        <v>Nov 2025</v>
      </c>
    </row>
    <row r="395" customFormat="false" ht="15" hidden="false" customHeight="false" outlineLevel="0" collapsed="false">
      <c r="A395" s="0" t="s">
        <v>1497</v>
      </c>
      <c r="B395" s="4" t="n">
        <v>45964</v>
      </c>
      <c r="C395" s="0" t="s">
        <v>653</v>
      </c>
      <c r="D395" s="0" t="n">
        <v>11</v>
      </c>
      <c r="E395" s="0" t="s">
        <v>1498</v>
      </c>
      <c r="F395" s="3" t="n">
        <f aca="false">D395*_xlfn.XLOOKUP(C395,Item_Master!A:A,Item_Master!G:G)</f>
        <v>19140</v>
      </c>
      <c r="G395" s="0" t="str">
        <f aca="false">TEXT(B395,"MMM YYYY")</f>
        <v>Nov 2025</v>
      </c>
    </row>
    <row r="396" customFormat="false" ht="15" hidden="false" customHeight="false" outlineLevel="0" collapsed="false">
      <c r="A396" s="0" t="s">
        <v>1499</v>
      </c>
      <c r="B396" s="4" t="n">
        <v>45965</v>
      </c>
      <c r="C396" s="0" t="s">
        <v>193</v>
      </c>
      <c r="D396" s="0" t="n">
        <v>25</v>
      </c>
      <c r="E396" s="0" t="s">
        <v>1500</v>
      </c>
      <c r="F396" s="3" t="n">
        <f aca="false">D396*_xlfn.XLOOKUP(C396,Item_Master!A:A,Item_Master!G:G)</f>
        <v>475750</v>
      </c>
      <c r="G396" s="0" t="str">
        <f aca="false">TEXT(B396,"MMM YYYY")</f>
        <v>Nov 2025</v>
      </c>
    </row>
    <row r="397" customFormat="false" ht="15" hidden="false" customHeight="false" outlineLevel="0" collapsed="false">
      <c r="A397" s="0" t="s">
        <v>1501</v>
      </c>
      <c r="B397" s="4" t="n">
        <v>45965</v>
      </c>
      <c r="C397" s="0" t="s">
        <v>239</v>
      </c>
      <c r="D397" s="0" t="n">
        <v>12</v>
      </c>
      <c r="E397" s="0" t="s">
        <v>1502</v>
      </c>
      <c r="F397" s="3" t="n">
        <f aca="false">D397*_xlfn.XLOOKUP(C397,Item_Master!A:A,Item_Master!G:G)</f>
        <v>21000</v>
      </c>
      <c r="G397" s="0" t="str">
        <f aca="false">TEXT(B397,"MMM YYYY")</f>
        <v>Nov 2025</v>
      </c>
    </row>
    <row r="398" customFormat="false" ht="15" hidden="false" customHeight="false" outlineLevel="0" collapsed="false">
      <c r="A398" s="0" t="s">
        <v>1503</v>
      </c>
      <c r="B398" s="4" t="n">
        <v>45965</v>
      </c>
      <c r="C398" s="0" t="s">
        <v>277</v>
      </c>
      <c r="D398" s="0" t="n">
        <v>11</v>
      </c>
      <c r="E398" s="0" t="s">
        <v>1504</v>
      </c>
      <c r="F398" s="3" t="n">
        <f aca="false">D398*_xlfn.XLOOKUP(C398,Item_Master!A:A,Item_Master!G:G)</f>
        <v>21560</v>
      </c>
      <c r="G398" s="0" t="str">
        <f aca="false">TEXT(B398,"MMM YYYY")</f>
        <v>Nov 2025</v>
      </c>
    </row>
    <row r="399" customFormat="false" ht="15" hidden="false" customHeight="false" outlineLevel="0" collapsed="false">
      <c r="A399" s="0" t="s">
        <v>1505</v>
      </c>
      <c r="B399" s="4" t="n">
        <v>45965</v>
      </c>
      <c r="C399" s="0" t="s">
        <v>279</v>
      </c>
      <c r="D399" s="0" t="n">
        <v>5</v>
      </c>
      <c r="E399" s="0" t="s">
        <v>1506</v>
      </c>
      <c r="F399" s="3" t="n">
        <f aca="false">D399*_xlfn.XLOOKUP(C399,Item_Master!A:A,Item_Master!G:G)</f>
        <v>64850</v>
      </c>
      <c r="G399" s="0" t="str">
        <f aca="false">TEXT(B399,"MMM YYYY")</f>
        <v>Nov 2025</v>
      </c>
    </row>
    <row r="400" customFormat="false" ht="15" hidden="false" customHeight="false" outlineLevel="0" collapsed="false">
      <c r="A400" s="0" t="s">
        <v>1507</v>
      </c>
      <c r="B400" s="4" t="n">
        <v>45965</v>
      </c>
      <c r="C400" s="0" t="s">
        <v>281</v>
      </c>
      <c r="D400" s="0" t="n">
        <v>3</v>
      </c>
      <c r="E400" s="0" t="s">
        <v>1508</v>
      </c>
      <c r="F400" s="3" t="n">
        <f aca="false">D400*_xlfn.XLOOKUP(C400,Item_Master!A:A,Item_Master!G:G)</f>
        <v>2310</v>
      </c>
      <c r="G400" s="0" t="str">
        <f aca="false">TEXT(B400,"MMM YYYY")</f>
        <v>Nov 2025</v>
      </c>
    </row>
    <row r="401" customFormat="false" ht="15" hidden="false" customHeight="false" outlineLevel="0" collapsed="false">
      <c r="A401" s="0" t="s">
        <v>1509</v>
      </c>
      <c r="B401" s="4" t="n">
        <v>45965</v>
      </c>
      <c r="C401" s="0" t="s">
        <v>318</v>
      </c>
      <c r="D401" s="0" t="n">
        <v>2</v>
      </c>
      <c r="E401" s="0" t="s">
        <v>1510</v>
      </c>
      <c r="F401" s="3" t="n">
        <f aca="false">D401*_xlfn.XLOOKUP(C401,Item_Master!A:A,Item_Master!G:G)</f>
        <v>3300</v>
      </c>
      <c r="G401" s="0" t="str">
        <f aca="false">TEXT(B401,"MMM YYYY")</f>
        <v>Nov 2025</v>
      </c>
    </row>
    <row r="402" customFormat="false" ht="15" hidden="false" customHeight="false" outlineLevel="0" collapsed="false">
      <c r="A402" s="0" t="s">
        <v>1511</v>
      </c>
      <c r="B402" s="4" t="n">
        <v>45965</v>
      </c>
      <c r="C402" s="0" t="s">
        <v>320</v>
      </c>
      <c r="D402" s="0" t="n">
        <v>7</v>
      </c>
      <c r="E402" s="0" t="s">
        <v>1512</v>
      </c>
      <c r="F402" s="3" t="n">
        <f aca="false">D402*_xlfn.XLOOKUP(C402,Item_Master!A:A,Item_Master!G:G)</f>
        <v>4060</v>
      </c>
      <c r="G402" s="0" t="str">
        <f aca="false">TEXT(B402,"MMM YYYY")</f>
        <v>Nov 2025</v>
      </c>
    </row>
    <row r="403" customFormat="false" ht="15" hidden="false" customHeight="false" outlineLevel="0" collapsed="false">
      <c r="A403" s="0" t="s">
        <v>1513</v>
      </c>
      <c r="B403" s="4" t="n">
        <v>45965</v>
      </c>
      <c r="C403" s="0" t="s">
        <v>392</v>
      </c>
      <c r="D403" s="0" t="n">
        <v>1</v>
      </c>
      <c r="E403" s="0" t="s">
        <v>1514</v>
      </c>
      <c r="F403" s="3" t="n">
        <f aca="false">D403*_xlfn.XLOOKUP(C403,Item_Master!A:A,Item_Master!G:G)</f>
        <v>630</v>
      </c>
      <c r="G403" s="0" t="str">
        <f aca="false">TEXT(B403,"MMM YYYY")</f>
        <v>Nov 2025</v>
      </c>
    </row>
    <row r="404" customFormat="false" ht="15" hidden="false" customHeight="false" outlineLevel="0" collapsed="false">
      <c r="A404" s="0" t="s">
        <v>1515</v>
      </c>
      <c r="B404" s="4" t="n">
        <v>45965</v>
      </c>
      <c r="C404" s="0" t="s">
        <v>467</v>
      </c>
      <c r="D404" s="0" t="n">
        <v>8</v>
      </c>
      <c r="E404" s="0" t="s">
        <v>1516</v>
      </c>
      <c r="F404" s="3" t="n">
        <f aca="false">D404*_xlfn.XLOOKUP(C404,Item_Master!A:A,Item_Master!G:G)</f>
        <v>57040</v>
      </c>
      <c r="G404" s="0" t="str">
        <f aca="false">TEXT(B404,"MMM YYYY")</f>
        <v>Nov 2025</v>
      </c>
    </row>
    <row r="405" customFormat="false" ht="15" hidden="false" customHeight="false" outlineLevel="0" collapsed="false">
      <c r="A405" s="0" t="s">
        <v>1517</v>
      </c>
      <c r="B405" s="4" t="n">
        <v>45965</v>
      </c>
      <c r="C405" s="0" t="s">
        <v>494</v>
      </c>
      <c r="D405" s="0" t="n">
        <v>1</v>
      </c>
      <c r="E405" s="0" t="s">
        <v>1518</v>
      </c>
      <c r="F405" s="3" t="n">
        <f aca="false">D405*_xlfn.XLOOKUP(C405,Item_Master!A:A,Item_Master!G:G)</f>
        <v>13940</v>
      </c>
      <c r="G405" s="0" t="str">
        <f aca="false">TEXT(B405,"MMM YYYY")</f>
        <v>Nov 2025</v>
      </c>
    </row>
    <row r="406" customFormat="false" ht="15" hidden="false" customHeight="false" outlineLevel="0" collapsed="false">
      <c r="A406" s="0" t="s">
        <v>1519</v>
      </c>
      <c r="B406" s="4" t="n">
        <v>45965</v>
      </c>
      <c r="C406" s="0" t="s">
        <v>513</v>
      </c>
      <c r="D406" s="0" t="n">
        <v>5</v>
      </c>
      <c r="E406" s="0" t="s">
        <v>1520</v>
      </c>
      <c r="F406" s="3" t="n">
        <f aca="false">D406*_xlfn.XLOOKUP(C406,Item_Master!A:A,Item_Master!G:G)</f>
        <v>11500</v>
      </c>
      <c r="G406" s="0" t="str">
        <f aca="false">TEXT(B406,"MMM YYYY")</f>
        <v>Nov 2025</v>
      </c>
    </row>
    <row r="407" customFormat="false" ht="15" hidden="false" customHeight="false" outlineLevel="0" collapsed="false">
      <c r="A407" s="0" t="s">
        <v>1521</v>
      </c>
      <c r="B407" s="4" t="n">
        <v>45965</v>
      </c>
      <c r="C407" s="0" t="s">
        <v>531</v>
      </c>
      <c r="D407" s="0" t="n">
        <v>24</v>
      </c>
      <c r="E407" s="0" t="s">
        <v>1522</v>
      </c>
      <c r="F407" s="3" t="n">
        <f aca="false">D407*_xlfn.XLOOKUP(C407,Item_Master!A:A,Item_Master!G:G)</f>
        <v>38880</v>
      </c>
      <c r="G407" s="0" t="str">
        <f aca="false">TEXT(B407,"MMM YYYY")</f>
        <v>Nov 2025</v>
      </c>
    </row>
    <row r="408" customFormat="false" ht="15" hidden="false" customHeight="false" outlineLevel="0" collapsed="false">
      <c r="A408" s="0" t="s">
        <v>1523</v>
      </c>
      <c r="B408" s="4" t="n">
        <v>45965</v>
      </c>
      <c r="C408" s="0" t="s">
        <v>562</v>
      </c>
      <c r="D408" s="0" t="n">
        <v>19</v>
      </c>
      <c r="E408" s="0" t="s">
        <v>1524</v>
      </c>
      <c r="F408" s="3" t="n">
        <f aca="false">D408*_xlfn.XLOOKUP(C408,Item_Master!A:A,Item_Master!G:G)</f>
        <v>27170</v>
      </c>
      <c r="G408" s="0" t="str">
        <f aca="false">TEXT(B408,"MMM YYYY")</f>
        <v>Nov 2025</v>
      </c>
    </row>
    <row r="409" customFormat="false" ht="15" hidden="false" customHeight="false" outlineLevel="0" collapsed="false">
      <c r="A409" s="0" t="s">
        <v>1525</v>
      </c>
      <c r="B409" s="4" t="n">
        <v>45965</v>
      </c>
      <c r="C409" s="0" t="s">
        <v>608</v>
      </c>
      <c r="D409" s="0" t="n">
        <v>1</v>
      </c>
      <c r="E409" s="0" t="s">
        <v>1526</v>
      </c>
      <c r="F409" s="3" t="n">
        <f aca="false">D409*_xlfn.XLOOKUP(C409,Item_Master!A:A,Item_Master!G:G)</f>
        <v>1590</v>
      </c>
      <c r="G409" s="0" t="str">
        <f aca="false">TEXT(B409,"MMM YYYY")</f>
        <v>Nov 2025</v>
      </c>
    </row>
    <row r="410" customFormat="false" ht="15" hidden="false" customHeight="false" outlineLevel="0" collapsed="false">
      <c r="A410" s="0" t="s">
        <v>1527</v>
      </c>
      <c r="B410" s="4" t="n">
        <v>45965</v>
      </c>
      <c r="C410" s="0" t="s">
        <v>612</v>
      </c>
      <c r="D410" s="0" t="n">
        <v>27</v>
      </c>
      <c r="E410" s="0" t="s">
        <v>1528</v>
      </c>
      <c r="F410" s="3" t="n">
        <f aca="false">D410*_xlfn.XLOOKUP(C410,Item_Master!A:A,Item_Master!G:G)</f>
        <v>69930</v>
      </c>
      <c r="G410" s="0" t="str">
        <f aca="false">TEXT(B410,"MMM YYYY")</f>
        <v>Nov 2025</v>
      </c>
    </row>
    <row r="411" customFormat="false" ht="15" hidden="false" customHeight="false" outlineLevel="0" collapsed="false">
      <c r="A411" s="0" t="s">
        <v>1529</v>
      </c>
      <c r="B411" s="4" t="n">
        <v>45965</v>
      </c>
      <c r="C411" s="0" t="s">
        <v>683</v>
      </c>
      <c r="D411" s="0" t="n">
        <v>18</v>
      </c>
      <c r="E411" s="0" t="s">
        <v>1530</v>
      </c>
      <c r="F411" s="3" t="n">
        <f aca="false">D411*_xlfn.XLOOKUP(C411,Item_Master!A:A,Item_Master!G:G)</f>
        <v>14400</v>
      </c>
      <c r="G411" s="0" t="str">
        <f aca="false">TEXT(B411,"MMM YYYY")</f>
        <v>Nov 2025</v>
      </c>
    </row>
    <row r="412" customFormat="false" ht="15" hidden="false" customHeight="false" outlineLevel="0" collapsed="false">
      <c r="A412" s="0" t="s">
        <v>1531</v>
      </c>
      <c r="B412" s="4" t="n">
        <v>45966</v>
      </c>
      <c r="C412" s="0" t="s">
        <v>21</v>
      </c>
      <c r="D412" s="0" t="n">
        <v>3</v>
      </c>
      <c r="E412" s="0" t="s">
        <v>1532</v>
      </c>
      <c r="F412" s="3" t="n">
        <f aca="false">D412*_xlfn.XLOOKUP(C412,Item_Master!A:A,Item_Master!G:G)</f>
        <v>3990</v>
      </c>
      <c r="G412" s="0" t="str">
        <f aca="false">TEXT(B412,"MMM YYYY")</f>
        <v>Nov 2025</v>
      </c>
    </row>
    <row r="413" customFormat="false" ht="15" hidden="false" customHeight="false" outlineLevel="0" collapsed="false">
      <c r="A413" s="0" t="s">
        <v>1533</v>
      </c>
      <c r="B413" s="4" t="n">
        <v>45966</v>
      </c>
      <c r="C413" s="0" t="s">
        <v>75</v>
      </c>
      <c r="D413" s="0" t="n">
        <v>29</v>
      </c>
      <c r="E413" s="0" t="s">
        <v>1534</v>
      </c>
      <c r="F413" s="3" t="n">
        <f aca="false">D413*_xlfn.XLOOKUP(C413,Item_Master!A:A,Item_Master!G:G)</f>
        <v>67860</v>
      </c>
      <c r="G413" s="0" t="str">
        <f aca="false">TEXT(B413,"MMM YYYY")</f>
        <v>Nov 2025</v>
      </c>
    </row>
    <row r="414" customFormat="false" ht="15" hidden="false" customHeight="false" outlineLevel="0" collapsed="false">
      <c r="A414" s="0" t="s">
        <v>1535</v>
      </c>
      <c r="B414" s="4" t="n">
        <v>45966</v>
      </c>
      <c r="C414" s="0" t="s">
        <v>156</v>
      </c>
      <c r="D414" s="0" t="n">
        <v>4</v>
      </c>
      <c r="E414" s="0" t="s">
        <v>1536</v>
      </c>
      <c r="F414" s="3" t="n">
        <f aca="false">D414*_xlfn.XLOOKUP(C414,Item_Master!A:A,Item_Master!G:G)</f>
        <v>12000</v>
      </c>
      <c r="G414" s="0" t="str">
        <f aca="false">TEXT(B414,"MMM YYYY")</f>
        <v>Nov 2025</v>
      </c>
    </row>
    <row r="415" customFormat="false" ht="15" hidden="false" customHeight="false" outlineLevel="0" collapsed="false">
      <c r="A415" s="0" t="s">
        <v>1537</v>
      </c>
      <c r="B415" s="4" t="n">
        <v>45966</v>
      </c>
      <c r="C415" s="0" t="s">
        <v>247</v>
      </c>
      <c r="D415" s="0" t="n">
        <v>10</v>
      </c>
      <c r="E415" s="0" t="s">
        <v>1538</v>
      </c>
      <c r="F415" s="3" t="n">
        <f aca="false">D415*_xlfn.XLOOKUP(C415,Item_Master!A:A,Item_Master!G:G)</f>
        <v>10000</v>
      </c>
      <c r="G415" s="0" t="str">
        <f aca="false">TEXT(B415,"MMM YYYY")</f>
        <v>Nov 2025</v>
      </c>
    </row>
    <row r="416" customFormat="false" ht="15" hidden="false" customHeight="false" outlineLevel="0" collapsed="false">
      <c r="A416" s="0" t="s">
        <v>1539</v>
      </c>
      <c r="B416" s="4" t="n">
        <v>45966</v>
      </c>
      <c r="C416" s="0" t="s">
        <v>314</v>
      </c>
      <c r="D416" s="0" t="n">
        <v>11</v>
      </c>
      <c r="E416" s="0" t="s">
        <v>1540</v>
      </c>
      <c r="F416" s="3" t="n">
        <f aca="false">D416*_xlfn.XLOOKUP(C416,Item_Master!A:A,Item_Master!G:G)</f>
        <v>37730</v>
      </c>
      <c r="G416" s="0" t="str">
        <f aca="false">TEXT(B416,"MMM YYYY")</f>
        <v>Nov 2025</v>
      </c>
    </row>
    <row r="417" customFormat="false" ht="15" hidden="false" customHeight="false" outlineLevel="0" collapsed="false">
      <c r="A417" s="0" t="s">
        <v>1541</v>
      </c>
      <c r="B417" s="4" t="n">
        <v>45966</v>
      </c>
      <c r="C417" s="0" t="s">
        <v>387</v>
      </c>
      <c r="D417" s="0" t="n">
        <v>3</v>
      </c>
      <c r="E417" s="0" t="s">
        <v>1542</v>
      </c>
      <c r="F417" s="3" t="n">
        <f aca="false">D417*_xlfn.XLOOKUP(C417,Item_Master!A:A,Item_Master!G:G)</f>
        <v>3210</v>
      </c>
      <c r="G417" s="0" t="str">
        <f aca="false">TEXT(B417,"MMM YYYY")</f>
        <v>Nov 2025</v>
      </c>
    </row>
    <row r="418" customFormat="false" ht="15" hidden="false" customHeight="false" outlineLevel="0" collapsed="false">
      <c r="A418" s="0" t="s">
        <v>1543</v>
      </c>
      <c r="B418" s="4" t="n">
        <v>45966</v>
      </c>
      <c r="C418" s="0" t="s">
        <v>391</v>
      </c>
      <c r="D418" s="0" t="n">
        <v>12</v>
      </c>
      <c r="E418" s="0" t="s">
        <v>1544</v>
      </c>
      <c r="F418" s="3" t="n">
        <f aca="false">D418*_xlfn.XLOOKUP(C418,Item_Master!A:A,Item_Master!G:G)</f>
        <v>16680</v>
      </c>
      <c r="G418" s="0" t="str">
        <f aca="false">TEXT(B418,"MMM YYYY")</f>
        <v>Nov 2025</v>
      </c>
    </row>
    <row r="419" customFormat="false" ht="15" hidden="false" customHeight="false" outlineLevel="0" collapsed="false">
      <c r="A419" s="0" t="s">
        <v>1545</v>
      </c>
      <c r="B419" s="4" t="n">
        <v>45966</v>
      </c>
      <c r="C419" s="0" t="s">
        <v>434</v>
      </c>
      <c r="D419" s="0" t="n">
        <v>1</v>
      </c>
      <c r="E419" s="0" t="s">
        <v>1546</v>
      </c>
      <c r="F419" s="3" t="n">
        <f aca="false">D419*_xlfn.XLOOKUP(C419,Item_Master!A:A,Item_Master!G:G)</f>
        <v>370</v>
      </c>
      <c r="G419" s="0" t="str">
        <f aca="false">TEXT(B419,"MMM YYYY")</f>
        <v>Nov 2025</v>
      </c>
    </row>
    <row r="420" customFormat="false" ht="15" hidden="false" customHeight="false" outlineLevel="0" collapsed="false">
      <c r="A420" s="0" t="s">
        <v>1547</v>
      </c>
      <c r="B420" s="4" t="n">
        <v>45966</v>
      </c>
      <c r="C420" s="0" t="s">
        <v>515</v>
      </c>
      <c r="D420" s="0" t="n">
        <v>3</v>
      </c>
      <c r="E420" s="0" t="s">
        <v>1548</v>
      </c>
      <c r="F420" s="3" t="n">
        <f aca="false">D420*_xlfn.XLOOKUP(C420,Item_Master!A:A,Item_Master!G:G)</f>
        <v>2820</v>
      </c>
      <c r="G420" s="0" t="str">
        <f aca="false">TEXT(B420,"MMM YYYY")</f>
        <v>Nov 2025</v>
      </c>
    </row>
    <row r="421" customFormat="false" ht="15" hidden="false" customHeight="false" outlineLevel="0" collapsed="false">
      <c r="A421" s="0" t="s">
        <v>1549</v>
      </c>
      <c r="B421" s="4" t="n">
        <v>45966</v>
      </c>
      <c r="C421" s="0" t="s">
        <v>525</v>
      </c>
      <c r="D421" s="0" t="n">
        <v>8</v>
      </c>
      <c r="E421" s="0" t="s">
        <v>1550</v>
      </c>
      <c r="F421" s="3" t="n">
        <f aca="false">D421*_xlfn.XLOOKUP(C421,Item_Master!A:A,Item_Master!G:G)</f>
        <v>61280</v>
      </c>
      <c r="G421" s="0" t="str">
        <f aca="false">TEXT(B421,"MMM YYYY")</f>
        <v>Nov 2025</v>
      </c>
    </row>
    <row r="422" customFormat="false" ht="15" hidden="false" customHeight="false" outlineLevel="0" collapsed="false">
      <c r="A422" s="0" t="s">
        <v>1551</v>
      </c>
      <c r="B422" s="4" t="n">
        <v>45966</v>
      </c>
      <c r="C422" s="0" t="s">
        <v>669</v>
      </c>
      <c r="D422" s="0" t="n">
        <v>19</v>
      </c>
      <c r="E422" s="0" t="s">
        <v>1552</v>
      </c>
      <c r="F422" s="3" t="n">
        <f aca="false">D422*_xlfn.XLOOKUP(C422,Item_Master!A:A,Item_Master!G:G)</f>
        <v>45030</v>
      </c>
      <c r="G422" s="0" t="str">
        <f aca="false">TEXT(B422,"MMM YYYY")</f>
        <v>Nov 2025</v>
      </c>
    </row>
    <row r="423" customFormat="false" ht="15" hidden="false" customHeight="false" outlineLevel="0" collapsed="false">
      <c r="A423" s="0" t="s">
        <v>1553</v>
      </c>
      <c r="B423" s="4" t="n">
        <v>45966</v>
      </c>
      <c r="C423" s="0" t="s">
        <v>669</v>
      </c>
      <c r="D423" s="0" t="n">
        <v>6</v>
      </c>
      <c r="E423" s="0" t="s">
        <v>1554</v>
      </c>
      <c r="F423" s="3" t="n">
        <f aca="false">D423*_xlfn.XLOOKUP(C423,Item_Master!A:A,Item_Master!G:G)</f>
        <v>14220</v>
      </c>
      <c r="G423" s="0" t="str">
        <f aca="false">TEXT(B423,"MMM YYYY")</f>
        <v>Nov 2025</v>
      </c>
    </row>
    <row r="424" customFormat="false" ht="15" hidden="false" customHeight="false" outlineLevel="0" collapsed="false">
      <c r="A424" s="0" t="s">
        <v>1555</v>
      </c>
      <c r="B424" s="4" t="n">
        <v>45966</v>
      </c>
      <c r="C424" s="0" t="s">
        <v>702</v>
      </c>
      <c r="D424" s="0" t="n">
        <v>1</v>
      </c>
      <c r="E424" s="0" t="s">
        <v>1556</v>
      </c>
      <c r="F424" s="3" t="n">
        <f aca="false">D424*_xlfn.XLOOKUP(C424,Item_Master!A:A,Item_Master!G:G)</f>
        <v>2310</v>
      </c>
      <c r="G424" s="0" t="str">
        <f aca="false">TEXT(B424,"MMM YYYY")</f>
        <v>Nov 2025</v>
      </c>
    </row>
    <row r="425" customFormat="false" ht="15" hidden="false" customHeight="false" outlineLevel="0" collapsed="false">
      <c r="A425" s="0" t="s">
        <v>1557</v>
      </c>
      <c r="B425" s="4" t="n">
        <v>45967</v>
      </c>
      <c r="C425" s="0" t="s">
        <v>13</v>
      </c>
      <c r="D425" s="0" t="n">
        <v>5</v>
      </c>
      <c r="E425" s="0" t="s">
        <v>1558</v>
      </c>
      <c r="F425" s="3" t="n">
        <f aca="false">D425*_xlfn.XLOOKUP(C425,Item_Master!A:A,Item_Master!G:G)</f>
        <v>10600</v>
      </c>
      <c r="G425" s="0" t="str">
        <f aca="false">TEXT(B425,"MMM YYYY")</f>
        <v>Nov 2025</v>
      </c>
    </row>
    <row r="426" customFormat="false" ht="15" hidden="false" customHeight="false" outlineLevel="0" collapsed="false">
      <c r="A426" s="0" t="s">
        <v>1559</v>
      </c>
      <c r="B426" s="4" t="n">
        <v>45967</v>
      </c>
      <c r="C426" s="0" t="s">
        <v>114</v>
      </c>
      <c r="D426" s="0" t="n">
        <v>40</v>
      </c>
      <c r="E426" s="0" t="s">
        <v>1560</v>
      </c>
      <c r="F426" s="3" t="n">
        <f aca="false">D426*_xlfn.XLOOKUP(C426,Item_Master!A:A,Item_Master!G:G)</f>
        <v>23600</v>
      </c>
      <c r="G426" s="0" t="str">
        <f aca="false">TEXT(B426,"MMM YYYY")</f>
        <v>Nov 2025</v>
      </c>
    </row>
    <row r="427" customFormat="false" ht="15" hidden="false" customHeight="false" outlineLevel="0" collapsed="false">
      <c r="A427" s="0" t="s">
        <v>1561</v>
      </c>
      <c r="B427" s="4" t="n">
        <v>45967</v>
      </c>
      <c r="C427" s="0" t="s">
        <v>156</v>
      </c>
      <c r="D427" s="0" t="n">
        <v>34</v>
      </c>
      <c r="E427" s="0" t="s">
        <v>1562</v>
      </c>
      <c r="F427" s="3" t="n">
        <f aca="false">D427*_xlfn.XLOOKUP(C427,Item_Master!A:A,Item_Master!G:G)</f>
        <v>102000</v>
      </c>
      <c r="G427" s="0" t="str">
        <f aca="false">TEXT(B427,"MMM YYYY")</f>
        <v>Nov 2025</v>
      </c>
    </row>
    <row r="428" customFormat="false" ht="15" hidden="false" customHeight="false" outlineLevel="0" collapsed="false">
      <c r="A428" s="0" t="s">
        <v>1563</v>
      </c>
      <c r="B428" s="4" t="n">
        <v>45967</v>
      </c>
      <c r="C428" s="0" t="s">
        <v>223</v>
      </c>
      <c r="D428" s="0" t="n">
        <v>2</v>
      </c>
      <c r="E428" s="0" t="s">
        <v>1564</v>
      </c>
      <c r="F428" s="3" t="n">
        <f aca="false">D428*_xlfn.XLOOKUP(C428,Item_Master!A:A,Item_Master!G:G)</f>
        <v>520</v>
      </c>
      <c r="G428" s="0" t="str">
        <f aca="false">TEXT(B428,"MMM YYYY")</f>
        <v>Nov 2025</v>
      </c>
    </row>
    <row r="429" customFormat="false" ht="15" hidden="false" customHeight="false" outlineLevel="0" collapsed="false">
      <c r="A429" s="0" t="s">
        <v>1565</v>
      </c>
      <c r="B429" s="4" t="n">
        <v>45967</v>
      </c>
      <c r="C429" s="0" t="s">
        <v>229</v>
      </c>
      <c r="D429" s="0" t="n">
        <v>4</v>
      </c>
      <c r="E429" s="0" t="s">
        <v>1566</v>
      </c>
      <c r="F429" s="3" t="n">
        <f aca="false">D429*_xlfn.XLOOKUP(C429,Item_Master!A:A,Item_Master!G:G)</f>
        <v>12640</v>
      </c>
      <c r="G429" s="0" t="str">
        <f aca="false">TEXT(B429,"MMM YYYY")</f>
        <v>Nov 2025</v>
      </c>
    </row>
    <row r="430" customFormat="false" ht="15" hidden="false" customHeight="false" outlineLevel="0" collapsed="false">
      <c r="A430" s="0" t="s">
        <v>1567</v>
      </c>
      <c r="B430" s="4" t="n">
        <v>45967</v>
      </c>
      <c r="C430" s="0" t="s">
        <v>271</v>
      </c>
      <c r="D430" s="0" t="n">
        <v>1</v>
      </c>
      <c r="E430" s="0" t="s">
        <v>1568</v>
      </c>
      <c r="F430" s="3" t="n">
        <f aca="false">D430*_xlfn.XLOOKUP(C430,Item_Master!A:A,Item_Master!G:G)</f>
        <v>600</v>
      </c>
      <c r="G430" s="0" t="str">
        <f aca="false">TEXT(B430,"MMM YYYY")</f>
        <v>Nov 2025</v>
      </c>
    </row>
    <row r="431" customFormat="false" ht="15" hidden="false" customHeight="false" outlineLevel="0" collapsed="false">
      <c r="A431" s="0" t="s">
        <v>1569</v>
      </c>
      <c r="B431" s="4" t="n">
        <v>45967</v>
      </c>
      <c r="C431" s="0" t="s">
        <v>430</v>
      </c>
      <c r="D431" s="0" t="n">
        <v>27</v>
      </c>
      <c r="E431" s="0" t="s">
        <v>1570</v>
      </c>
      <c r="F431" s="3" t="n">
        <f aca="false">D431*_xlfn.XLOOKUP(C431,Item_Master!A:A,Item_Master!G:G)</f>
        <v>62910</v>
      </c>
      <c r="G431" s="0" t="str">
        <f aca="false">TEXT(B431,"MMM YYYY")</f>
        <v>Nov 2025</v>
      </c>
    </row>
    <row r="432" customFormat="false" ht="15" hidden="false" customHeight="false" outlineLevel="0" collapsed="false">
      <c r="A432" s="0" t="s">
        <v>1571</v>
      </c>
      <c r="B432" s="4" t="n">
        <v>45967</v>
      </c>
      <c r="C432" s="0" t="s">
        <v>430</v>
      </c>
      <c r="D432" s="0" t="n">
        <v>8</v>
      </c>
      <c r="E432" s="0" t="s">
        <v>1572</v>
      </c>
      <c r="F432" s="3" t="n">
        <f aca="false">D432*_xlfn.XLOOKUP(C432,Item_Master!A:A,Item_Master!G:G)</f>
        <v>18640</v>
      </c>
      <c r="G432" s="0" t="str">
        <f aca="false">TEXT(B432,"MMM YYYY")</f>
        <v>Nov 2025</v>
      </c>
    </row>
    <row r="433" customFormat="false" ht="15" hidden="false" customHeight="false" outlineLevel="0" collapsed="false">
      <c r="A433" s="0" t="s">
        <v>1573</v>
      </c>
      <c r="B433" s="4" t="n">
        <v>45967</v>
      </c>
      <c r="C433" s="0" t="s">
        <v>461</v>
      </c>
      <c r="D433" s="0" t="n">
        <v>24</v>
      </c>
      <c r="E433" s="0" t="s">
        <v>1574</v>
      </c>
      <c r="F433" s="3" t="n">
        <f aca="false">D433*_xlfn.XLOOKUP(C433,Item_Master!A:A,Item_Master!G:G)</f>
        <v>36720</v>
      </c>
      <c r="G433" s="0" t="str">
        <f aca="false">TEXT(B433,"MMM YYYY")</f>
        <v>Nov 2025</v>
      </c>
    </row>
    <row r="434" customFormat="false" ht="15" hidden="false" customHeight="false" outlineLevel="0" collapsed="false">
      <c r="A434" s="0" t="s">
        <v>1575</v>
      </c>
      <c r="B434" s="4" t="n">
        <v>45968</v>
      </c>
      <c r="C434" s="0" t="s">
        <v>198</v>
      </c>
      <c r="D434" s="0" t="n">
        <v>33</v>
      </c>
      <c r="E434" s="0" t="s">
        <v>1576</v>
      </c>
      <c r="F434" s="3" t="n">
        <f aca="false">D434*_xlfn.XLOOKUP(C434,Item_Master!A:A,Item_Master!G:G)</f>
        <v>346170</v>
      </c>
      <c r="G434" s="0" t="str">
        <f aca="false">TEXT(B434,"MMM YYYY")</f>
        <v>Nov 2025</v>
      </c>
    </row>
    <row r="435" customFormat="false" ht="15" hidden="false" customHeight="false" outlineLevel="0" collapsed="false">
      <c r="A435" s="0" t="s">
        <v>1577</v>
      </c>
      <c r="B435" s="4" t="n">
        <v>45968</v>
      </c>
      <c r="C435" s="0" t="s">
        <v>291</v>
      </c>
      <c r="D435" s="0" t="n">
        <v>19</v>
      </c>
      <c r="E435" s="0" t="s">
        <v>1578</v>
      </c>
      <c r="F435" s="3" t="n">
        <f aca="false">D435*_xlfn.XLOOKUP(C435,Item_Master!A:A,Item_Master!G:G)</f>
        <v>286900</v>
      </c>
      <c r="G435" s="0" t="str">
        <f aca="false">TEXT(B435,"MMM YYYY")</f>
        <v>Nov 2025</v>
      </c>
    </row>
    <row r="436" customFormat="false" ht="15" hidden="false" customHeight="false" outlineLevel="0" collapsed="false">
      <c r="A436" s="0" t="s">
        <v>1579</v>
      </c>
      <c r="B436" s="4" t="n">
        <v>45968</v>
      </c>
      <c r="C436" s="0" t="s">
        <v>347</v>
      </c>
      <c r="D436" s="0" t="n">
        <v>10</v>
      </c>
      <c r="E436" s="0" t="s">
        <v>1580</v>
      </c>
      <c r="F436" s="3" t="n">
        <f aca="false">D436*_xlfn.XLOOKUP(C436,Item_Master!A:A,Item_Master!G:G)</f>
        <v>2400</v>
      </c>
      <c r="G436" s="0" t="str">
        <f aca="false">TEXT(B436,"MMM YYYY")</f>
        <v>Nov 2025</v>
      </c>
    </row>
    <row r="437" customFormat="false" ht="15" hidden="false" customHeight="false" outlineLevel="0" collapsed="false">
      <c r="A437" s="0" t="s">
        <v>1581</v>
      </c>
      <c r="B437" s="4" t="n">
        <v>45968</v>
      </c>
      <c r="C437" s="0" t="s">
        <v>473</v>
      </c>
      <c r="D437" s="0" t="n">
        <v>19</v>
      </c>
      <c r="E437" s="0" t="s">
        <v>1582</v>
      </c>
      <c r="F437" s="3" t="n">
        <f aca="false">D437*_xlfn.XLOOKUP(C437,Item_Master!A:A,Item_Master!G:G)</f>
        <v>3610</v>
      </c>
      <c r="G437" s="0" t="str">
        <f aca="false">TEXT(B437,"MMM YYYY")</f>
        <v>Nov 2025</v>
      </c>
    </row>
    <row r="438" customFormat="false" ht="15" hidden="false" customHeight="false" outlineLevel="0" collapsed="false">
      <c r="A438" s="0" t="s">
        <v>1583</v>
      </c>
      <c r="B438" s="4" t="n">
        <v>45968</v>
      </c>
      <c r="C438" s="0" t="s">
        <v>537</v>
      </c>
      <c r="D438" s="0" t="n">
        <v>2</v>
      </c>
      <c r="E438" s="0" t="s">
        <v>1584</v>
      </c>
      <c r="F438" s="3" t="n">
        <f aca="false">D438*_xlfn.XLOOKUP(C438,Item_Master!A:A,Item_Master!G:G)</f>
        <v>29520</v>
      </c>
      <c r="G438" s="0" t="str">
        <f aca="false">TEXT(B438,"MMM YYYY")</f>
        <v>Nov 2025</v>
      </c>
    </row>
    <row r="439" customFormat="false" ht="15" hidden="false" customHeight="false" outlineLevel="0" collapsed="false">
      <c r="A439" s="0" t="s">
        <v>1585</v>
      </c>
      <c r="B439" s="4" t="n">
        <v>45968</v>
      </c>
      <c r="C439" s="0" t="s">
        <v>543</v>
      </c>
      <c r="D439" s="0" t="n">
        <v>3</v>
      </c>
      <c r="E439" s="0" t="s">
        <v>1586</v>
      </c>
      <c r="F439" s="3" t="n">
        <f aca="false">D439*_xlfn.XLOOKUP(C439,Item_Master!A:A,Item_Master!G:G)</f>
        <v>7650</v>
      </c>
      <c r="G439" s="0" t="str">
        <f aca="false">TEXT(B439,"MMM YYYY")</f>
        <v>Nov 2025</v>
      </c>
    </row>
    <row r="440" customFormat="false" ht="15" hidden="false" customHeight="false" outlineLevel="0" collapsed="false">
      <c r="A440" s="0" t="s">
        <v>1587</v>
      </c>
      <c r="B440" s="4" t="n">
        <v>45968</v>
      </c>
      <c r="C440" s="0" t="s">
        <v>571</v>
      </c>
      <c r="D440" s="0" t="n">
        <v>10</v>
      </c>
      <c r="E440" s="0" t="s">
        <v>1588</v>
      </c>
      <c r="F440" s="3" t="n">
        <f aca="false">D440*_xlfn.XLOOKUP(C440,Item_Master!A:A,Item_Master!G:G)</f>
        <v>14800</v>
      </c>
      <c r="G440" s="0" t="str">
        <f aca="false">TEXT(B440,"MMM YYYY")</f>
        <v>Nov 2025</v>
      </c>
    </row>
    <row r="441" customFormat="false" ht="15" hidden="false" customHeight="false" outlineLevel="0" collapsed="false">
      <c r="A441" s="0" t="s">
        <v>1589</v>
      </c>
      <c r="B441" s="4" t="n">
        <v>45968</v>
      </c>
      <c r="C441" s="0" t="s">
        <v>635</v>
      </c>
      <c r="D441" s="0" t="n">
        <v>38</v>
      </c>
      <c r="E441" s="0" t="s">
        <v>1590</v>
      </c>
      <c r="F441" s="3" t="n">
        <f aca="false">D441*_xlfn.XLOOKUP(C441,Item_Master!A:A,Item_Master!G:G)</f>
        <v>805980</v>
      </c>
      <c r="G441" s="0" t="str">
        <f aca="false">TEXT(B441,"MMM YYYY")</f>
        <v>Nov 2025</v>
      </c>
    </row>
    <row r="442" customFormat="false" ht="15" hidden="false" customHeight="false" outlineLevel="0" collapsed="false">
      <c r="A442" s="0" t="s">
        <v>1591</v>
      </c>
      <c r="B442" s="4" t="n">
        <v>45968</v>
      </c>
      <c r="C442" s="0" t="s">
        <v>669</v>
      </c>
      <c r="D442" s="0" t="n">
        <v>28</v>
      </c>
      <c r="E442" s="0" t="s">
        <v>1592</v>
      </c>
      <c r="F442" s="3" t="n">
        <f aca="false">D442*_xlfn.XLOOKUP(C442,Item_Master!A:A,Item_Master!G:G)</f>
        <v>66360</v>
      </c>
      <c r="G442" s="0" t="str">
        <f aca="false">TEXT(B442,"MMM YYYY")</f>
        <v>Nov 2025</v>
      </c>
    </row>
    <row r="443" customFormat="false" ht="15" hidden="false" customHeight="false" outlineLevel="0" collapsed="false">
      <c r="A443" s="0" t="s">
        <v>1593</v>
      </c>
      <c r="B443" s="4" t="n">
        <v>45969</v>
      </c>
      <c r="C443" s="0" t="s">
        <v>277</v>
      </c>
      <c r="D443" s="0" t="n">
        <v>23</v>
      </c>
      <c r="E443" s="0" t="s">
        <v>1594</v>
      </c>
      <c r="F443" s="3" t="n">
        <f aca="false">D443*_xlfn.XLOOKUP(C443,Item_Master!A:A,Item_Master!G:G)</f>
        <v>45080</v>
      </c>
      <c r="G443" s="0" t="str">
        <f aca="false">TEXT(B443,"MMM YYYY")</f>
        <v>Nov 2025</v>
      </c>
    </row>
    <row r="444" customFormat="false" ht="15" hidden="false" customHeight="false" outlineLevel="0" collapsed="false">
      <c r="A444" s="0" t="s">
        <v>1595</v>
      </c>
      <c r="B444" s="4" t="n">
        <v>45969</v>
      </c>
      <c r="C444" s="0" t="s">
        <v>443</v>
      </c>
      <c r="D444" s="0" t="n">
        <v>22</v>
      </c>
      <c r="E444" s="0" t="s">
        <v>1596</v>
      </c>
      <c r="F444" s="3" t="n">
        <f aca="false">D444*_xlfn.XLOOKUP(C444,Item_Master!A:A,Item_Master!G:G)</f>
        <v>36960</v>
      </c>
      <c r="G444" s="0" t="str">
        <f aca="false">TEXT(B444,"MMM YYYY")</f>
        <v>Nov 2025</v>
      </c>
    </row>
    <row r="445" customFormat="false" ht="15" hidden="false" customHeight="false" outlineLevel="0" collapsed="false">
      <c r="A445" s="0" t="s">
        <v>1597</v>
      </c>
      <c r="B445" s="4" t="n">
        <v>45969</v>
      </c>
      <c r="C445" s="0" t="s">
        <v>627</v>
      </c>
      <c r="D445" s="0" t="n">
        <v>11</v>
      </c>
      <c r="E445" s="0" t="s">
        <v>1598</v>
      </c>
      <c r="F445" s="3" t="n">
        <f aca="false">D445*_xlfn.XLOOKUP(C445,Item_Master!A:A,Item_Master!G:G)</f>
        <v>78650</v>
      </c>
      <c r="G445" s="0" t="str">
        <f aca="false">TEXT(B445,"MMM YYYY")</f>
        <v>Nov 2025</v>
      </c>
    </row>
    <row r="446" customFormat="false" ht="15" hidden="false" customHeight="false" outlineLevel="0" collapsed="false">
      <c r="A446" s="0" t="s">
        <v>1599</v>
      </c>
      <c r="B446" s="4" t="n">
        <v>45969</v>
      </c>
      <c r="C446" s="0" t="s">
        <v>656</v>
      </c>
      <c r="D446" s="0" t="n">
        <v>1</v>
      </c>
      <c r="E446" s="0" t="s">
        <v>1600</v>
      </c>
      <c r="F446" s="3" t="n">
        <f aca="false">D446*_xlfn.XLOOKUP(C446,Item_Master!A:A,Item_Master!G:G)</f>
        <v>1370</v>
      </c>
      <c r="G446" s="0" t="str">
        <f aca="false">TEXT(B446,"MMM YYYY")</f>
        <v>Nov 2025</v>
      </c>
    </row>
    <row r="447" customFormat="false" ht="15" hidden="false" customHeight="false" outlineLevel="0" collapsed="false">
      <c r="A447" s="0" t="s">
        <v>1601</v>
      </c>
      <c r="B447" s="4" t="n">
        <v>45969</v>
      </c>
      <c r="C447" s="0" t="s">
        <v>674</v>
      </c>
      <c r="D447" s="0" t="n">
        <v>38</v>
      </c>
      <c r="E447" s="0" t="s">
        <v>1602</v>
      </c>
      <c r="F447" s="3" t="n">
        <f aca="false">D447*_xlfn.XLOOKUP(C447,Item_Master!A:A,Item_Master!G:G)</f>
        <v>26980</v>
      </c>
      <c r="G447" s="0" t="str">
        <f aca="false">TEXT(B447,"MMM YYYY")</f>
        <v>Nov 2025</v>
      </c>
    </row>
    <row r="448" customFormat="false" ht="15" hidden="false" customHeight="false" outlineLevel="0" collapsed="false">
      <c r="A448" s="0" t="s">
        <v>1603</v>
      </c>
      <c r="B448" s="4" t="n">
        <v>45970</v>
      </c>
      <c r="C448" s="0" t="s">
        <v>13</v>
      </c>
      <c r="D448" s="0" t="n">
        <v>2</v>
      </c>
      <c r="E448" s="0" t="s">
        <v>1604</v>
      </c>
      <c r="F448" s="3" t="n">
        <f aca="false">D448*_xlfn.XLOOKUP(C448,Item_Master!A:A,Item_Master!G:G)</f>
        <v>4240</v>
      </c>
      <c r="G448" s="0" t="str">
        <f aca="false">TEXT(B448,"MMM YYYY")</f>
        <v>Nov 2025</v>
      </c>
    </row>
    <row r="449" customFormat="false" ht="15" hidden="false" customHeight="false" outlineLevel="0" collapsed="false">
      <c r="A449" s="0" t="s">
        <v>1605</v>
      </c>
      <c r="B449" s="4" t="n">
        <v>45970</v>
      </c>
      <c r="C449" s="0" t="s">
        <v>68</v>
      </c>
      <c r="D449" s="0" t="n">
        <v>8</v>
      </c>
      <c r="E449" s="0" t="s">
        <v>1606</v>
      </c>
      <c r="F449" s="3" t="n">
        <f aca="false">D449*_xlfn.XLOOKUP(C449,Item_Master!A:A,Item_Master!G:G)</f>
        <v>10800</v>
      </c>
      <c r="G449" s="0" t="str">
        <f aca="false">TEXT(B449,"MMM YYYY")</f>
        <v>Nov 2025</v>
      </c>
    </row>
    <row r="450" customFormat="false" ht="15" hidden="false" customHeight="false" outlineLevel="0" collapsed="false">
      <c r="A450" s="0" t="s">
        <v>1607</v>
      </c>
      <c r="B450" s="4" t="n">
        <v>45970</v>
      </c>
      <c r="C450" s="0" t="s">
        <v>83</v>
      </c>
      <c r="D450" s="0" t="n">
        <v>2</v>
      </c>
      <c r="E450" s="0" t="s">
        <v>1608</v>
      </c>
      <c r="F450" s="3" t="n">
        <f aca="false">D450*_xlfn.XLOOKUP(C450,Item_Master!A:A,Item_Master!G:G)</f>
        <v>11180</v>
      </c>
      <c r="G450" s="0" t="str">
        <f aca="false">TEXT(B450,"MMM YYYY")</f>
        <v>Nov 2025</v>
      </c>
    </row>
    <row r="451" customFormat="false" ht="15" hidden="false" customHeight="false" outlineLevel="0" collapsed="false">
      <c r="A451" s="0" t="s">
        <v>1609</v>
      </c>
      <c r="B451" s="4" t="n">
        <v>45970</v>
      </c>
      <c r="C451" s="0" t="s">
        <v>183</v>
      </c>
      <c r="D451" s="0" t="n">
        <v>15</v>
      </c>
      <c r="E451" s="0" t="s">
        <v>1610</v>
      </c>
      <c r="F451" s="3" t="n">
        <f aca="false">D451*_xlfn.XLOOKUP(C451,Item_Master!A:A,Item_Master!G:G)</f>
        <v>32400</v>
      </c>
      <c r="G451" s="0" t="str">
        <f aca="false">TEXT(B451,"MMM YYYY")</f>
        <v>Nov 2025</v>
      </c>
    </row>
    <row r="452" customFormat="false" ht="15" hidden="false" customHeight="false" outlineLevel="0" collapsed="false">
      <c r="A452" s="0" t="s">
        <v>1611</v>
      </c>
      <c r="B452" s="4" t="n">
        <v>45970</v>
      </c>
      <c r="C452" s="0" t="s">
        <v>207</v>
      </c>
      <c r="D452" s="0" t="n">
        <v>6</v>
      </c>
      <c r="E452" s="0" t="s">
        <v>1612</v>
      </c>
      <c r="F452" s="3" t="n">
        <f aca="false">D452*_xlfn.XLOOKUP(C452,Item_Master!A:A,Item_Master!G:G)</f>
        <v>15540</v>
      </c>
      <c r="G452" s="0" t="str">
        <f aca="false">TEXT(B452,"MMM YYYY")</f>
        <v>Nov 2025</v>
      </c>
    </row>
    <row r="453" customFormat="false" ht="15" hidden="false" customHeight="false" outlineLevel="0" collapsed="false">
      <c r="A453" s="0" t="s">
        <v>1613</v>
      </c>
      <c r="B453" s="4" t="n">
        <v>45970</v>
      </c>
      <c r="C453" s="0" t="s">
        <v>300</v>
      </c>
      <c r="D453" s="0" t="n">
        <v>12</v>
      </c>
      <c r="E453" s="0" t="s">
        <v>1614</v>
      </c>
      <c r="F453" s="3" t="n">
        <f aca="false">D453*_xlfn.XLOOKUP(C453,Item_Master!A:A,Item_Master!G:G)</f>
        <v>30600</v>
      </c>
      <c r="G453" s="0" t="str">
        <f aca="false">TEXT(B453,"MMM YYYY")</f>
        <v>Nov 2025</v>
      </c>
    </row>
    <row r="454" customFormat="false" ht="15" hidden="false" customHeight="false" outlineLevel="0" collapsed="false">
      <c r="A454" s="0" t="s">
        <v>1615</v>
      </c>
      <c r="B454" s="4" t="n">
        <v>45970</v>
      </c>
      <c r="C454" s="0" t="s">
        <v>316</v>
      </c>
      <c r="D454" s="0" t="n">
        <v>27</v>
      </c>
      <c r="E454" s="0" t="s">
        <v>1616</v>
      </c>
      <c r="F454" s="3" t="n">
        <f aca="false">D454*_xlfn.XLOOKUP(C454,Item_Master!A:A,Item_Master!G:G)</f>
        <v>10800</v>
      </c>
      <c r="G454" s="0" t="str">
        <f aca="false">TEXT(B454,"MMM YYYY")</f>
        <v>Nov 2025</v>
      </c>
    </row>
    <row r="455" customFormat="false" ht="15" hidden="false" customHeight="false" outlineLevel="0" collapsed="false">
      <c r="A455" s="0" t="s">
        <v>1617</v>
      </c>
      <c r="B455" s="4" t="n">
        <v>45970</v>
      </c>
      <c r="C455" s="0" t="s">
        <v>324</v>
      </c>
      <c r="D455" s="0" t="n">
        <v>36</v>
      </c>
      <c r="E455" s="0" t="s">
        <v>1618</v>
      </c>
      <c r="F455" s="3" t="n">
        <f aca="false">D455*_xlfn.XLOOKUP(C455,Item_Master!A:A,Item_Master!G:G)</f>
        <v>719280</v>
      </c>
      <c r="G455" s="0" t="str">
        <f aca="false">TEXT(B455,"MMM YYYY")</f>
        <v>Nov 2025</v>
      </c>
    </row>
    <row r="456" customFormat="false" ht="15" hidden="false" customHeight="false" outlineLevel="0" collapsed="false">
      <c r="A456" s="0" t="s">
        <v>1619</v>
      </c>
      <c r="B456" s="4" t="n">
        <v>45970</v>
      </c>
      <c r="C456" s="0" t="s">
        <v>357</v>
      </c>
      <c r="D456" s="0" t="n">
        <v>2</v>
      </c>
      <c r="E456" s="0" t="s">
        <v>1620</v>
      </c>
      <c r="F456" s="3" t="n">
        <f aca="false">D456*_xlfn.XLOOKUP(C456,Item_Master!A:A,Item_Master!G:G)</f>
        <v>21940</v>
      </c>
      <c r="G456" s="0" t="str">
        <f aca="false">TEXT(B456,"MMM YYYY")</f>
        <v>Nov 2025</v>
      </c>
    </row>
    <row r="457" customFormat="false" ht="15" hidden="false" customHeight="false" outlineLevel="0" collapsed="false">
      <c r="A457" s="0" t="s">
        <v>1621</v>
      </c>
      <c r="B457" s="4" t="n">
        <v>45970</v>
      </c>
      <c r="C457" s="0" t="s">
        <v>473</v>
      </c>
      <c r="D457" s="0" t="n">
        <v>35</v>
      </c>
      <c r="E457" s="0" t="s">
        <v>1148</v>
      </c>
      <c r="F457" s="3" t="n">
        <f aca="false">D457*_xlfn.XLOOKUP(C457,Item_Master!A:A,Item_Master!G:G)</f>
        <v>6650</v>
      </c>
      <c r="G457" s="0" t="str">
        <f aca="false">TEXT(B457,"MMM YYYY")</f>
        <v>Nov 2025</v>
      </c>
    </row>
    <row r="458" customFormat="false" ht="15" hidden="false" customHeight="false" outlineLevel="0" collapsed="false">
      <c r="A458" s="0" t="s">
        <v>1622</v>
      </c>
      <c r="B458" s="4" t="n">
        <v>45970</v>
      </c>
      <c r="C458" s="0" t="s">
        <v>486</v>
      </c>
      <c r="D458" s="0" t="n">
        <v>20</v>
      </c>
      <c r="E458" s="0" t="s">
        <v>1623</v>
      </c>
      <c r="F458" s="3" t="n">
        <f aca="false">D458*_xlfn.XLOOKUP(C458,Item_Master!A:A,Item_Master!G:G)</f>
        <v>34000</v>
      </c>
      <c r="G458" s="0" t="str">
        <f aca="false">TEXT(B458,"MMM YYYY")</f>
        <v>Nov 2025</v>
      </c>
    </row>
    <row r="459" customFormat="false" ht="15" hidden="false" customHeight="false" outlineLevel="0" collapsed="false">
      <c r="A459" s="0" t="s">
        <v>1624</v>
      </c>
      <c r="B459" s="4" t="n">
        <v>45970</v>
      </c>
      <c r="C459" s="0" t="s">
        <v>500</v>
      </c>
      <c r="D459" s="0" t="n">
        <v>37</v>
      </c>
      <c r="E459" s="0" t="s">
        <v>1625</v>
      </c>
      <c r="F459" s="3" t="n">
        <f aca="false">D459*_xlfn.XLOOKUP(C459,Item_Master!A:A,Item_Master!G:G)</f>
        <v>25530</v>
      </c>
      <c r="G459" s="0" t="str">
        <f aca="false">TEXT(B459,"MMM YYYY")</f>
        <v>Nov 2025</v>
      </c>
    </row>
    <row r="460" customFormat="false" ht="15" hidden="false" customHeight="false" outlineLevel="0" collapsed="false">
      <c r="A460" s="0" t="s">
        <v>1626</v>
      </c>
      <c r="B460" s="4" t="n">
        <v>45970</v>
      </c>
      <c r="C460" s="0" t="s">
        <v>507</v>
      </c>
      <c r="D460" s="0" t="n">
        <v>15</v>
      </c>
      <c r="E460" s="0" t="s">
        <v>1627</v>
      </c>
      <c r="F460" s="3" t="n">
        <f aca="false">D460*_xlfn.XLOOKUP(C460,Item_Master!A:A,Item_Master!G:G)</f>
        <v>6600</v>
      </c>
      <c r="G460" s="0" t="str">
        <f aca="false">TEXT(B460,"MMM YYYY")</f>
        <v>Nov 2025</v>
      </c>
    </row>
    <row r="461" customFormat="false" ht="15" hidden="false" customHeight="false" outlineLevel="0" collapsed="false">
      <c r="A461" s="0" t="s">
        <v>1628</v>
      </c>
      <c r="B461" s="4" t="n">
        <v>45970</v>
      </c>
      <c r="C461" s="0" t="s">
        <v>507</v>
      </c>
      <c r="D461" s="0" t="n">
        <v>1</v>
      </c>
      <c r="E461" s="0" t="s">
        <v>1629</v>
      </c>
      <c r="F461" s="3" t="n">
        <f aca="false">D461*_xlfn.XLOOKUP(C461,Item_Master!A:A,Item_Master!G:G)</f>
        <v>440</v>
      </c>
      <c r="G461" s="0" t="str">
        <f aca="false">TEXT(B461,"MMM YYYY")</f>
        <v>Nov 2025</v>
      </c>
    </row>
    <row r="462" customFormat="false" ht="15" hidden="false" customHeight="false" outlineLevel="0" collapsed="false">
      <c r="A462" s="0" t="s">
        <v>1630</v>
      </c>
      <c r="B462" s="4" t="n">
        <v>45970</v>
      </c>
      <c r="C462" s="0" t="s">
        <v>570</v>
      </c>
      <c r="D462" s="0" t="n">
        <v>8</v>
      </c>
      <c r="E462" s="0" t="s">
        <v>1631</v>
      </c>
      <c r="F462" s="3" t="n">
        <f aca="false">D462*_xlfn.XLOOKUP(C462,Item_Master!A:A,Item_Master!G:G)</f>
        <v>12640</v>
      </c>
      <c r="G462" s="0" t="str">
        <f aca="false">TEXT(B462,"MMM YYYY")</f>
        <v>Nov 2025</v>
      </c>
    </row>
    <row r="463" customFormat="false" ht="15" hidden="false" customHeight="false" outlineLevel="0" collapsed="false">
      <c r="A463" s="0" t="s">
        <v>1632</v>
      </c>
      <c r="B463" s="4" t="n">
        <v>45970</v>
      </c>
      <c r="C463" s="0" t="s">
        <v>580</v>
      </c>
      <c r="D463" s="0" t="n">
        <v>13</v>
      </c>
      <c r="E463" s="0" t="s">
        <v>1633</v>
      </c>
      <c r="F463" s="3" t="n">
        <f aca="false">D463*_xlfn.XLOOKUP(C463,Item_Master!A:A,Item_Master!G:G)</f>
        <v>314340</v>
      </c>
      <c r="G463" s="0" t="str">
        <f aca="false">TEXT(B463,"MMM YYYY")</f>
        <v>Nov 2025</v>
      </c>
    </row>
    <row r="464" customFormat="false" ht="15" hidden="false" customHeight="false" outlineLevel="0" collapsed="false">
      <c r="A464" s="0" t="s">
        <v>1634</v>
      </c>
      <c r="B464" s="4" t="n">
        <v>45970</v>
      </c>
      <c r="C464" s="0" t="s">
        <v>645</v>
      </c>
      <c r="D464" s="0" t="n">
        <v>22</v>
      </c>
      <c r="E464" s="0" t="s">
        <v>1635</v>
      </c>
      <c r="F464" s="3" t="n">
        <f aca="false">D464*_xlfn.XLOOKUP(C464,Item_Master!A:A,Item_Master!G:G)</f>
        <v>266420</v>
      </c>
      <c r="G464" s="0" t="str">
        <f aca="false">TEXT(B464,"MMM YYYY")</f>
        <v>Nov 2025</v>
      </c>
    </row>
    <row r="465" customFormat="false" ht="15" hidden="false" customHeight="false" outlineLevel="0" collapsed="false">
      <c r="A465" s="0" t="s">
        <v>1636</v>
      </c>
      <c r="B465" s="4" t="n">
        <v>45970</v>
      </c>
      <c r="C465" s="0" t="s">
        <v>661</v>
      </c>
      <c r="D465" s="0" t="n">
        <v>4</v>
      </c>
      <c r="E465" s="0" t="s">
        <v>1637</v>
      </c>
      <c r="F465" s="3" t="n">
        <f aca="false">D465*_xlfn.XLOOKUP(C465,Item_Master!A:A,Item_Master!G:G)</f>
        <v>13800</v>
      </c>
      <c r="G465" s="0" t="str">
        <f aca="false">TEXT(B465,"MMM YYYY")</f>
        <v>Nov 2025</v>
      </c>
    </row>
    <row r="466" customFormat="false" ht="15" hidden="false" customHeight="false" outlineLevel="0" collapsed="false">
      <c r="A466" s="0" t="s">
        <v>1638</v>
      </c>
      <c r="B466" s="4" t="n">
        <v>45971</v>
      </c>
      <c r="C466" s="0" t="s">
        <v>170</v>
      </c>
      <c r="D466" s="0" t="n">
        <v>9</v>
      </c>
      <c r="E466" s="0" t="s">
        <v>1639</v>
      </c>
      <c r="F466" s="3" t="n">
        <f aca="false">D466*_xlfn.XLOOKUP(C466,Item_Master!A:A,Item_Master!G:G)</f>
        <v>3330</v>
      </c>
      <c r="G466" s="0" t="str">
        <f aca="false">TEXT(B466,"MMM YYYY")</f>
        <v>Nov 2025</v>
      </c>
    </row>
    <row r="467" customFormat="false" ht="15" hidden="false" customHeight="false" outlineLevel="0" collapsed="false">
      <c r="A467" s="0" t="s">
        <v>1640</v>
      </c>
      <c r="B467" s="4" t="n">
        <v>45971</v>
      </c>
      <c r="C467" s="0" t="s">
        <v>289</v>
      </c>
      <c r="D467" s="0" t="n">
        <v>24</v>
      </c>
      <c r="E467" s="0" t="s">
        <v>1641</v>
      </c>
      <c r="F467" s="3" t="n">
        <f aca="false">D467*_xlfn.XLOOKUP(C467,Item_Master!A:A,Item_Master!G:G)</f>
        <v>72000</v>
      </c>
      <c r="G467" s="0" t="str">
        <f aca="false">TEXT(B467,"MMM YYYY")</f>
        <v>Nov 2025</v>
      </c>
    </row>
    <row r="468" customFormat="false" ht="15" hidden="false" customHeight="false" outlineLevel="0" collapsed="false">
      <c r="A468" s="0" t="s">
        <v>1642</v>
      </c>
      <c r="B468" s="4" t="n">
        <v>45971</v>
      </c>
      <c r="C468" s="0" t="s">
        <v>316</v>
      </c>
      <c r="D468" s="0" t="n">
        <v>32</v>
      </c>
      <c r="E468" s="0" t="s">
        <v>1643</v>
      </c>
      <c r="F468" s="3" t="n">
        <f aca="false">D468*_xlfn.XLOOKUP(C468,Item_Master!A:A,Item_Master!G:G)</f>
        <v>12800</v>
      </c>
      <c r="G468" s="0" t="str">
        <f aca="false">TEXT(B468,"MMM YYYY")</f>
        <v>Nov 2025</v>
      </c>
    </row>
    <row r="469" customFormat="false" ht="15" hidden="false" customHeight="false" outlineLevel="0" collapsed="false">
      <c r="A469" s="0" t="s">
        <v>1644</v>
      </c>
      <c r="B469" s="4" t="n">
        <v>45971</v>
      </c>
      <c r="C469" s="0" t="s">
        <v>347</v>
      </c>
      <c r="D469" s="0" t="n">
        <v>1</v>
      </c>
      <c r="E469" s="0" t="s">
        <v>1645</v>
      </c>
      <c r="F469" s="3" t="n">
        <f aca="false">D469*_xlfn.XLOOKUP(C469,Item_Master!A:A,Item_Master!G:G)</f>
        <v>240</v>
      </c>
      <c r="G469" s="0" t="str">
        <f aca="false">TEXT(B469,"MMM YYYY")</f>
        <v>Nov 2025</v>
      </c>
    </row>
    <row r="470" customFormat="false" ht="15" hidden="false" customHeight="false" outlineLevel="0" collapsed="false">
      <c r="A470" s="0" t="s">
        <v>1646</v>
      </c>
      <c r="B470" s="4" t="n">
        <v>45971</v>
      </c>
      <c r="C470" s="0" t="s">
        <v>396</v>
      </c>
      <c r="D470" s="0" t="n">
        <v>9</v>
      </c>
      <c r="E470" s="0" t="s">
        <v>1647</v>
      </c>
      <c r="F470" s="3" t="n">
        <f aca="false">D470*_xlfn.XLOOKUP(C470,Item_Master!A:A,Item_Master!G:G)</f>
        <v>23760</v>
      </c>
      <c r="G470" s="0" t="str">
        <f aca="false">TEXT(B470,"MMM YYYY")</f>
        <v>Nov 2025</v>
      </c>
    </row>
    <row r="471" customFormat="false" ht="15" hidden="false" customHeight="false" outlineLevel="0" collapsed="false">
      <c r="A471" s="0" t="s">
        <v>1648</v>
      </c>
      <c r="B471" s="4" t="n">
        <v>45971</v>
      </c>
      <c r="C471" s="0" t="s">
        <v>416</v>
      </c>
      <c r="D471" s="0" t="n">
        <v>22</v>
      </c>
      <c r="E471" s="0" t="s">
        <v>1649</v>
      </c>
      <c r="F471" s="3" t="n">
        <f aca="false">D471*_xlfn.XLOOKUP(C471,Item_Master!A:A,Item_Master!G:G)</f>
        <v>34100</v>
      </c>
      <c r="G471" s="0" t="str">
        <f aca="false">TEXT(B471,"MMM YYYY")</f>
        <v>Nov 2025</v>
      </c>
    </row>
    <row r="472" customFormat="false" ht="15" hidden="false" customHeight="false" outlineLevel="0" collapsed="false">
      <c r="A472" s="0" t="s">
        <v>1650</v>
      </c>
      <c r="B472" s="4" t="n">
        <v>45971</v>
      </c>
      <c r="C472" s="0" t="s">
        <v>419</v>
      </c>
      <c r="D472" s="0" t="n">
        <v>6</v>
      </c>
      <c r="E472" s="0" t="s">
        <v>1651</v>
      </c>
      <c r="F472" s="3" t="n">
        <f aca="false">D472*_xlfn.XLOOKUP(C472,Item_Master!A:A,Item_Master!G:G)</f>
        <v>12420</v>
      </c>
      <c r="G472" s="0" t="str">
        <f aca="false">TEXT(B472,"MMM YYYY")</f>
        <v>Nov 2025</v>
      </c>
    </row>
    <row r="473" customFormat="false" ht="15" hidden="false" customHeight="false" outlineLevel="0" collapsed="false">
      <c r="A473" s="0" t="s">
        <v>1652</v>
      </c>
      <c r="B473" s="4" t="n">
        <v>45971</v>
      </c>
      <c r="C473" s="0" t="s">
        <v>456</v>
      </c>
      <c r="D473" s="0" t="n">
        <v>20</v>
      </c>
      <c r="E473" s="0" t="s">
        <v>1653</v>
      </c>
      <c r="F473" s="3" t="n">
        <f aca="false">D473*_xlfn.XLOOKUP(C473,Item_Master!A:A,Item_Master!G:G)</f>
        <v>13000</v>
      </c>
      <c r="G473" s="0" t="str">
        <f aca="false">TEXT(B473,"MMM YYYY")</f>
        <v>Nov 2025</v>
      </c>
    </row>
    <row r="474" customFormat="false" ht="15" hidden="false" customHeight="false" outlineLevel="0" collapsed="false">
      <c r="A474" s="0" t="s">
        <v>1654</v>
      </c>
      <c r="B474" s="4" t="n">
        <v>45971</v>
      </c>
      <c r="C474" s="0" t="s">
        <v>533</v>
      </c>
      <c r="D474" s="0" t="n">
        <v>6</v>
      </c>
      <c r="E474" s="0" t="s">
        <v>1655</v>
      </c>
      <c r="F474" s="3" t="n">
        <f aca="false">D474*_xlfn.XLOOKUP(C474,Item_Master!A:A,Item_Master!G:G)</f>
        <v>10320</v>
      </c>
      <c r="G474" s="0" t="str">
        <f aca="false">TEXT(B474,"MMM YYYY")</f>
        <v>Nov 2025</v>
      </c>
    </row>
    <row r="475" customFormat="false" ht="15" hidden="false" customHeight="false" outlineLevel="0" collapsed="false">
      <c r="A475" s="0" t="s">
        <v>1656</v>
      </c>
      <c r="B475" s="4" t="n">
        <v>45971</v>
      </c>
      <c r="C475" s="0" t="s">
        <v>588</v>
      </c>
      <c r="D475" s="0" t="n">
        <v>21</v>
      </c>
      <c r="E475" s="0" t="s">
        <v>1657</v>
      </c>
      <c r="F475" s="3" t="n">
        <f aca="false">D475*_xlfn.XLOOKUP(C475,Item_Master!A:A,Item_Master!G:G)</f>
        <v>64470</v>
      </c>
      <c r="G475" s="0" t="str">
        <f aca="false">TEXT(B475,"MMM YYYY")</f>
        <v>Nov 2025</v>
      </c>
    </row>
    <row r="476" customFormat="false" ht="15" hidden="false" customHeight="false" outlineLevel="0" collapsed="false">
      <c r="A476" s="0" t="s">
        <v>1658</v>
      </c>
      <c r="B476" s="4" t="n">
        <v>45971</v>
      </c>
      <c r="C476" s="0" t="s">
        <v>626</v>
      </c>
      <c r="D476" s="0" t="n">
        <v>2</v>
      </c>
      <c r="E476" s="0" t="s">
        <v>1659</v>
      </c>
      <c r="F476" s="3" t="n">
        <f aca="false">D476*_xlfn.XLOOKUP(C476,Item_Master!A:A,Item_Master!G:G)</f>
        <v>660</v>
      </c>
      <c r="G476" s="0" t="str">
        <f aca="false">TEXT(B476,"MMM YYYY")</f>
        <v>Nov 2025</v>
      </c>
    </row>
    <row r="477" customFormat="false" ht="15" hidden="false" customHeight="false" outlineLevel="0" collapsed="false">
      <c r="A477" s="0" t="s">
        <v>1660</v>
      </c>
      <c r="B477" s="4" t="n">
        <v>45971</v>
      </c>
      <c r="C477" s="0" t="s">
        <v>692</v>
      </c>
      <c r="D477" s="0" t="n">
        <v>16</v>
      </c>
      <c r="E477" s="0" t="s">
        <v>1661</v>
      </c>
      <c r="F477" s="3" t="n">
        <f aca="false">D477*_xlfn.XLOOKUP(C477,Item_Master!A:A,Item_Master!G:G)</f>
        <v>53760</v>
      </c>
      <c r="G477" s="0" t="str">
        <f aca="false">TEXT(B477,"MMM YYYY")</f>
        <v>Nov 2025</v>
      </c>
    </row>
    <row r="478" customFormat="false" ht="15" hidden="false" customHeight="false" outlineLevel="0" collapsed="false">
      <c r="A478" s="0" t="s">
        <v>1662</v>
      </c>
      <c r="B478" s="4" t="n">
        <v>45972</v>
      </c>
      <c r="C478" s="0" t="s">
        <v>163</v>
      </c>
      <c r="D478" s="0" t="n">
        <v>2</v>
      </c>
      <c r="E478" s="0" t="s">
        <v>1663</v>
      </c>
      <c r="F478" s="3" t="n">
        <f aca="false">D478*_xlfn.XLOOKUP(C478,Item_Master!A:A,Item_Master!G:G)</f>
        <v>37460</v>
      </c>
      <c r="G478" s="0" t="str">
        <f aca="false">TEXT(B478,"MMM YYYY")</f>
        <v>Nov 2025</v>
      </c>
    </row>
    <row r="479" customFormat="false" ht="15" hidden="false" customHeight="false" outlineLevel="0" collapsed="false">
      <c r="A479" s="0" t="s">
        <v>1664</v>
      </c>
      <c r="B479" s="4" t="n">
        <v>45972</v>
      </c>
      <c r="C479" s="0" t="s">
        <v>169</v>
      </c>
      <c r="D479" s="0" t="n">
        <v>2</v>
      </c>
      <c r="E479" s="0" t="s">
        <v>1665</v>
      </c>
      <c r="F479" s="3" t="n">
        <f aca="false">D479*_xlfn.XLOOKUP(C479,Item_Master!A:A,Item_Master!G:G)</f>
        <v>8240</v>
      </c>
      <c r="G479" s="0" t="str">
        <f aca="false">TEXT(B479,"MMM YYYY")</f>
        <v>Nov 2025</v>
      </c>
    </row>
    <row r="480" customFormat="false" ht="15" hidden="false" customHeight="false" outlineLevel="0" collapsed="false">
      <c r="A480" s="0" t="s">
        <v>1666</v>
      </c>
      <c r="B480" s="4" t="n">
        <v>45972</v>
      </c>
      <c r="C480" s="0" t="s">
        <v>202</v>
      </c>
      <c r="D480" s="0" t="n">
        <v>6</v>
      </c>
      <c r="E480" s="0" t="s">
        <v>1667</v>
      </c>
      <c r="F480" s="3" t="n">
        <f aca="false">D480*_xlfn.XLOOKUP(C480,Item_Master!A:A,Item_Master!G:G)</f>
        <v>9780</v>
      </c>
      <c r="G480" s="0" t="str">
        <f aca="false">TEXT(B480,"MMM YYYY")</f>
        <v>Nov 2025</v>
      </c>
    </row>
    <row r="481" customFormat="false" ht="15" hidden="false" customHeight="false" outlineLevel="0" collapsed="false">
      <c r="A481" s="0" t="s">
        <v>1668</v>
      </c>
      <c r="B481" s="4" t="n">
        <v>45972</v>
      </c>
      <c r="C481" s="0" t="s">
        <v>275</v>
      </c>
      <c r="D481" s="0" t="n">
        <v>31</v>
      </c>
      <c r="E481" s="0" t="s">
        <v>1669</v>
      </c>
      <c r="F481" s="3" t="n">
        <f aca="false">D481*_xlfn.XLOOKUP(C481,Item_Master!A:A,Item_Master!G:G)</f>
        <v>131440</v>
      </c>
      <c r="G481" s="0" t="str">
        <f aca="false">TEXT(B481,"MMM YYYY")</f>
        <v>Nov 2025</v>
      </c>
    </row>
    <row r="482" customFormat="false" ht="15" hidden="false" customHeight="false" outlineLevel="0" collapsed="false">
      <c r="A482" s="0" t="s">
        <v>1670</v>
      </c>
      <c r="B482" s="4" t="n">
        <v>45972</v>
      </c>
      <c r="C482" s="0" t="s">
        <v>277</v>
      </c>
      <c r="D482" s="0" t="n">
        <v>34</v>
      </c>
      <c r="E482" s="0" t="s">
        <v>1671</v>
      </c>
      <c r="F482" s="3" t="n">
        <f aca="false">D482*_xlfn.XLOOKUP(C482,Item_Master!A:A,Item_Master!G:G)</f>
        <v>66640</v>
      </c>
      <c r="G482" s="0" t="str">
        <f aca="false">TEXT(B482,"MMM YYYY")</f>
        <v>Nov 2025</v>
      </c>
    </row>
    <row r="483" customFormat="false" ht="15" hidden="false" customHeight="false" outlineLevel="0" collapsed="false">
      <c r="A483" s="0" t="s">
        <v>1672</v>
      </c>
      <c r="B483" s="4" t="n">
        <v>45972</v>
      </c>
      <c r="C483" s="0" t="s">
        <v>339</v>
      </c>
      <c r="D483" s="0" t="n">
        <v>33</v>
      </c>
      <c r="E483" s="0" t="s">
        <v>1673</v>
      </c>
      <c r="F483" s="3" t="n">
        <f aca="false">D483*_xlfn.XLOOKUP(C483,Item_Master!A:A,Item_Master!G:G)</f>
        <v>166980</v>
      </c>
      <c r="G483" s="0" t="str">
        <f aca="false">TEXT(B483,"MMM YYYY")</f>
        <v>Nov 2025</v>
      </c>
    </row>
    <row r="484" customFormat="false" ht="15" hidden="false" customHeight="false" outlineLevel="0" collapsed="false">
      <c r="A484" s="0" t="s">
        <v>1674</v>
      </c>
      <c r="B484" s="4" t="n">
        <v>45972</v>
      </c>
      <c r="C484" s="0" t="s">
        <v>387</v>
      </c>
      <c r="D484" s="0" t="n">
        <v>5</v>
      </c>
      <c r="E484" s="0" t="s">
        <v>1675</v>
      </c>
      <c r="F484" s="3" t="n">
        <f aca="false">D484*_xlfn.XLOOKUP(C484,Item_Master!A:A,Item_Master!G:G)</f>
        <v>5350</v>
      </c>
      <c r="G484" s="0" t="str">
        <f aca="false">TEXT(B484,"MMM YYYY")</f>
        <v>Nov 2025</v>
      </c>
    </row>
    <row r="485" customFormat="false" ht="15" hidden="false" customHeight="false" outlineLevel="0" collapsed="false">
      <c r="A485" s="0" t="s">
        <v>1676</v>
      </c>
      <c r="B485" s="4" t="n">
        <v>45972</v>
      </c>
      <c r="C485" s="0" t="s">
        <v>639</v>
      </c>
      <c r="D485" s="0" t="n">
        <v>18</v>
      </c>
      <c r="E485" s="0" t="s">
        <v>1677</v>
      </c>
      <c r="F485" s="3" t="n">
        <f aca="false">D485*_xlfn.XLOOKUP(C485,Item_Master!A:A,Item_Master!G:G)</f>
        <v>10620</v>
      </c>
      <c r="G485" s="0" t="str">
        <f aca="false">TEXT(B485,"MMM YYYY")</f>
        <v>Nov 2025</v>
      </c>
    </row>
    <row r="486" customFormat="false" ht="15" hidden="false" customHeight="false" outlineLevel="0" collapsed="false">
      <c r="A486" s="0" t="s">
        <v>1678</v>
      </c>
      <c r="B486" s="4" t="n">
        <v>45972</v>
      </c>
      <c r="C486" s="0" t="s">
        <v>654</v>
      </c>
      <c r="D486" s="0" t="n">
        <v>36</v>
      </c>
      <c r="E486" s="0" t="s">
        <v>1679</v>
      </c>
      <c r="F486" s="3" t="n">
        <f aca="false">D486*_xlfn.XLOOKUP(C486,Item_Master!A:A,Item_Master!G:G)</f>
        <v>64800</v>
      </c>
      <c r="G486" s="0" t="str">
        <f aca="false">TEXT(B486,"MMM YYYY")</f>
        <v>Nov 2025</v>
      </c>
    </row>
    <row r="487" customFormat="false" ht="15" hidden="false" customHeight="false" outlineLevel="0" collapsed="false">
      <c r="A487" s="0" t="s">
        <v>1680</v>
      </c>
      <c r="B487" s="4" t="n">
        <v>45973</v>
      </c>
      <c r="C487" s="0" t="s">
        <v>125</v>
      </c>
      <c r="D487" s="0" t="n">
        <v>1</v>
      </c>
      <c r="E487" s="0" t="s">
        <v>1681</v>
      </c>
      <c r="F487" s="3" t="n">
        <f aca="false">D487*_xlfn.XLOOKUP(C487,Item_Master!A:A,Item_Master!G:G)</f>
        <v>2240</v>
      </c>
      <c r="G487" s="0" t="str">
        <f aca="false">TEXT(B487,"MMM YYYY")</f>
        <v>Nov 2025</v>
      </c>
    </row>
    <row r="488" customFormat="false" ht="15" hidden="false" customHeight="false" outlineLevel="0" collapsed="false">
      <c r="A488" s="0" t="s">
        <v>1682</v>
      </c>
      <c r="B488" s="4" t="n">
        <v>45973</v>
      </c>
      <c r="C488" s="0" t="s">
        <v>144</v>
      </c>
      <c r="D488" s="0" t="n">
        <v>6</v>
      </c>
      <c r="E488" s="0" t="s">
        <v>1683</v>
      </c>
      <c r="F488" s="3" t="n">
        <f aca="false">D488*_xlfn.XLOOKUP(C488,Item_Master!A:A,Item_Master!G:G)</f>
        <v>5580</v>
      </c>
      <c r="G488" s="0" t="str">
        <f aca="false">TEXT(B488,"MMM YYYY")</f>
        <v>Nov 2025</v>
      </c>
    </row>
    <row r="489" customFormat="false" ht="15" hidden="false" customHeight="false" outlineLevel="0" collapsed="false">
      <c r="A489" s="0" t="s">
        <v>1684</v>
      </c>
      <c r="B489" s="4" t="n">
        <v>45973</v>
      </c>
      <c r="C489" s="0" t="s">
        <v>191</v>
      </c>
      <c r="D489" s="0" t="n">
        <v>30</v>
      </c>
      <c r="E489" s="0" t="s">
        <v>1685</v>
      </c>
      <c r="F489" s="3" t="n">
        <f aca="false">D489*_xlfn.XLOOKUP(C489,Item_Master!A:A,Item_Master!G:G)</f>
        <v>344400</v>
      </c>
      <c r="G489" s="0" t="str">
        <f aca="false">TEXT(B489,"MMM YYYY")</f>
        <v>Nov 2025</v>
      </c>
    </row>
    <row r="490" customFormat="false" ht="15" hidden="false" customHeight="false" outlineLevel="0" collapsed="false">
      <c r="A490" s="0" t="s">
        <v>1686</v>
      </c>
      <c r="B490" s="4" t="n">
        <v>45973</v>
      </c>
      <c r="C490" s="0" t="s">
        <v>304</v>
      </c>
      <c r="D490" s="0" t="n">
        <v>9</v>
      </c>
      <c r="E490" s="0" t="s">
        <v>1687</v>
      </c>
      <c r="F490" s="3" t="n">
        <f aca="false">D490*_xlfn.XLOOKUP(C490,Item_Master!A:A,Item_Master!G:G)</f>
        <v>900</v>
      </c>
      <c r="G490" s="0" t="str">
        <f aca="false">TEXT(B490,"MMM YYYY")</f>
        <v>Nov 2025</v>
      </c>
    </row>
    <row r="491" customFormat="false" ht="15" hidden="false" customHeight="false" outlineLevel="0" collapsed="false">
      <c r="A491" s="0" t="s">
        <v>1688</v>
      </c>
      <c r="B491" s="4" t="n">
        <v>45973</v>
      </c>
      <c r="C491" s="0" t="s">
        <v>343</v>
      </c>
      <c r="D491" s="0" t="n">
        <v>12</v>
      </c>
      <c r="E491" s="0" t="s">
        <v>1689</v>
      </c>
      <c r="F491" s="3" t="n">
        <f aca="false">D491*_xlfn.XLOOKUP(C491,Item_Master!A:A,Item_Master!G:G)</f>
        <v>21000</v>
      </c>
      <c r="G491" s="0" t="str">
        <f aca="false">TEXT(B491,"MMM YYYY")</f>
        <v>Nov 2025</v>
      </c>
    </row>
    <row r="492" customFormat="false" ht="15" hidden="false" customHeight="false" outlineLevel="0" collapsed="false">
      <c r="A492" s="0" t="s">
        <v>1690</v>
      </c>
      <c r="B492" s="4" t="n">
        <v>45973</v>
      </c>
      <c r="C492" s="0" t="s">
        <v>364</v>
      </c>
      <c r="D492" s="0" t="n">
        <v>5</v>
      </c>
      <c r="E492" s="0" t="s">
        <v>1691</v>
      </c>
      <c r="F492" s="3" t="n">
        <f aca="false">D492*_xlfn.XLOOKUP(C492,Item_Master!A:A,Item_Master!G:G)</f>
        <v>17850</v>
      </c>
      <c r="G492" s="0" t="str">
        <f aca="false">TEXT(B492,"MMM YYYY")</f>
        <v>Nov 2025</v>
      </c>
    </row>
    <row r="493" customFormat="false" ht="15" hidden="false" customHeight="false" outlineLevel="0" collapsed="false">
      <c r="A493" s="0" t="s">
        <v>1692</v>
      </c>
      <c r="B493" s="4" t="n">
        <v>45973</v>
      </c>
      <c r="C493" s="0" t="s">
        <v>370</v>
      </c>
      <c r="D493" s="0" t="n">
        <v>19</v>
      </c>
      <c r="E493" s="0" t="s">
        <v>1693</v>
      </c>
      <c r="F493" s="3" t="n">
        <f aca="false">D493*_xlfn.XLOOKUP(C493,Item_Master!A:A,Item_Master!G:G)</f>
        <v>22230</v>
      </c>
      <c r="G493" s="0" t="str">
        <f aca="false">TEXT(B493,"MMM YYYY")</f>
        <v>Nov 2025</v>
      </c>
    </row>
    <row r="494" customFormat="false" ht="15" hidden="false" customHeight="false" outlineLevel="0" collapsed="false">
      <c r="A494" s="0" t="s">
        <v>1694</v>
      </c>
      <c r="B494" s="4" t="n">
        <v>45973</v>
      </c>
      <c r="C494" s="0" t="s">
        <v>428</v>
      </c>
      <c r="D494" s="0" t="n">
        <v>25</v>
      </c>
      <c r="E494" s="0" t="s">
        <v>1695</v>
      </c>
      <c r="F494" s="3" t="n">
        <f aca="false">D494*_xlfn.XLOOKUP(C494,Item_Master!A:A,Item_Master!G:G)</f>
        <v>28000</v>
      </c>
      <c r="G494" s="0" t="str">
        <f aca="false">TEXT(B494,"MMM YYYY")</f>
        <v>Nov 2025</v>
      </c>
    </row>
    <row r="495" customFormat="false" ht="15" hidden="false" customHeight="false" outlineLevel="0" collapsed="false">
      <c r="A495" s="0" t="s">
        <v>1696</v>
      </c>
      <c r="B495" s="4" t="n">
        <v>45973</v>
      </c>
      <c r="C495" s="0" t="s">
        <v>498</v>
      </c>
      <c r="D495" s="0" t="n">
        <v>35</v>
      </c>
      <c r="E495" s="0" t="s">
        <v>1697</v>
      </c>
      <c r="F495" s="3" t="n">
        <f aca="false">D495*_xlfn.XLOOKUP(C495,Item_Master!A:A,Item_Master!G:G)</f>
        <v>103250</v>
      </c>
      <c r="G495" s="0" t="str">
        <f aca="false">TEXT(B495,"MMM YYYY")</f>
        <v>Nov 2025</v>
      </c>
    </row>
    <row r="496" customFormat="false" ht="15" hidden="false" customHeight="false" outlineLevel="0" collapsed="false">
      <c r="A496" s="0" t="s">
        <v>1698</v>
      </c>
      <c r="B496" s="4" t="n">
        <v>45973</v>
      </c>
      <c r="C496" s="0" t="s">
        <v>511</v>
      </c>
      <c r="D496" s="0" t="n">
        <v>2</v>
      </c>
      <c r="E496" s="0" t="s">
        <v>1699</v>
      </c>
      <c r="F496" s="3" t="n">
        <f aca="false">D496*_xlfn.XLOOKUP(C496,Item_Master!A:A,Item_Master!G:G)</f>
        <v>5220</v>
      </c>
      <c r="G496" s="0" t="str">
        <f aca="false">TEXT(B496,"MMM YYYY")</f>
        <v>Nov 2025</v>
      </c>
    </row>
    <row r="497" customFormat="false" ht="15" hidden="false" customHeight="false" outlineLevel="0" collapsed="false">
      <c r="A497" s="0" t="s">
        <v>1700</v>
      </c>
      <c r="B497" s="4" t="n">
        <v>45973</v>
      </c>
      <c r="C497" s="0" t="s">
        <v>537</v>
      </c>
      <c r="D497" s="0" t="n">
        <v>12</v>
      </c>
      <c r="E497" s="0" t="s">
        <v>1701</v>
      </c>
      <c r="F497" s="3" t="n">
        <f aca="false">D497*_xlfn.XLOOKUP(C497,Item_Master!A:A,Item_Master!G:G)</f>
        <v>177120</v>
      </c>
      <c r="G497" s="0" t="str">
        <f aca="false">TEXT(B497,"MMM YYYY")</f>
        <v>Nov 2025</v>
      </c>
    </row>
    <row r="498" customFormat="false" ht="15" hidden="false" customHeight="false" outlineLevel="0" collapsed="false">
      <c r="A498" s="0" t="s">
        <v>1702</v>
      </c>
      <c r="B498" s="4" t="n">
        <v>45973</v>
      </c>
      <c r="C498" s="0" t="s">
        <v>582</v>
      </c>
      <c r="D498" s="0" t="n">
        <v>8</v>
      </c>
      <c r="E498" s="0" t="s">
        <v>1703</v>
      </c>
      <c r="F498" s="3" t="n">
        <f aca="false">D498*_xlfn.XLOOKUP(C498,Item_Master!A:A,Item_Master!G:G)</f>
        <v>154320</v>
      </c>
      <c r="G498" s="0" t="str">
        <f aca="false">TEXT(B498,"MMM YYYY")</f>
        <v>Nov 2025</v>
      </c>
    </row>
    <row r="499" customFormat="false" ht="15" hidden="false" customHeight="false" outlineLevel="0" collapsed="false">
      <c r="A499" s="0" t="s">
        <v>1704</v>
      </c>
      <c r="B499" s="4" t="n">
        <v>45973</v>
      </c>
      <c r="C499" s="0" t="s">
        <v>674</v>
      </c>
      <c r="D499" s="0" t="n">
        <v>4</v>
      </c>
      <c r="E499" s="0" t="s">
        <v>1705</v>
      </c>
      <c r="F499" s="3" t="n">
        <f aca="false">D499*_xlfn.XLOOKUP(C499,Item_Master!A:A,Item_Master!G:G)</f>
        <v>2840</v>
      </c>
      <c r="G499" s="0" t="str">
        <f aca="false">TEXT(B499,"MMM YYYY")</f>
        <v>Nov 2025</v>
      </c>
    </row>
    <row r="500" customFormat="false" ht="15" hidden="false" customHeight="false" outlineLevel="0" collapsed="false">
      <c r="A500" s="0" t="s">
        <v>1706</v>
      </c>
      <c r="B500" s="4" t="n">
        <v>45973</v>
      </c>
      <c r="C500" s="0" t="s">
        <v>690</v>
      </c>
      <c r="D500" s="0" t="n">
        <v>6</v>
      </c>
      <c r="E500" s="0" t="s">
        <v>1707</v>
      </c>
      <c r="F500" s="3" t="n">
        <f aca="false">D500*_xlfn.XLOOKUP(C500,Item_Master!A:A,Item_Master!G:G)</f>
        <v>4740</v>
      </c>
      <c r="G500" s="0" t="str">
        <f aca="false">TEXT(B500,"MMM YYYY")</f>
        <v>Nov 2025</v>
      </c>
    </row>
    <row r="501" customFormat="false" ht="15" hidden="false" customHeight="false" outlineLevel="0" collapsed="false">
      <c r="A501" s="0" t="s">
        <v>1708</v>
      </c>
      <c r="B501" s="4" t="n">
        <v>45974</v>
      </c>
      <c r="C501" s="0" t="s">
        <v>41</v>
      </c>
      <c r="D501" s="0" t="n">
        <v>22</v>
      </c>
      <c r="E501" s="0" t="s">
        <v>1709</v>
      </c>
      <c r="F501" s="3" t="n">
        <f aca="false">D501*_xlfn.XLOOKUP(C501,Item_Master!A:A,Item_Master!G:G)</f>
        <v>22440</v>
      </c>
      <c r="G501" s="0" t="str">
        <f aca="false">TEXT(B501,"MMM YYYY")</f>
        <v>Nov 2025</v>
      </c>
    </row>
    <row r="502" customFormat="false" ht="15" hidden="false" customHeight="false" outlineLevel="0" collapsed="false">
      <c r="A502" s="0" t="s">
        <v>1710</v>
      </c>
      <c r="B502" s="4" t="n">
        <v>45974</v>
      </c>
      <c r="C502" s="0" t="s">
        <v>103</v>
      </c>
      <c r="D502" s="0" t="n">
        <v>9</v>
      </c>
      <c r="E502" s="0" t="s">
        <v>1711</v>
      </c>
      <c r="F502" s="3" t="n">
        <f aca="false">D502*_xlfn.XLOOKUP(C502,Item_Master!A:A,Item_Master!G:G)</f>
        <v>16200</v>
      </c>
      <c r="G502" s="0" t="str">
        <f aca="false">TEXT(B502,"MMM YYYY")</f>
        <v>Nov 2025</v>
      </c>
    </row>
    <row r="503" customFormat="false" ht="15" hidden="false" customHeight="false" outlineLevel="0" collapsed="false">
      <c r="A503" s="0" t="s">
        <v>1712</v>
      </c>
      <c r="B503" s="4" t="n">
        <v>45974</v>
      </c>
      <c r="C503" s="0" t="s">
        <v>243</v>
      </c>
      <c r="D503" s="0" t="n">
        <v>21</v>
      </c>
      <c r="E503" s="0" t="s">
        <v>1713</v>
      </c>
      <c r="F503" s="3" t="n">
        <f aca="false">D503*_xlfn.XLOOKUP(C503,Item_Master!A:A,Item_Master!G:G)</f>
        <v>24570</v>
      </c>
      <c r="G503" s="0" t="str">
        <f aca="false">TEXT(B503,"MMM YYYY")</f>
        <v>Nov 2025</v>
      </c>
    </row>
    <row r="504" customFormat="false" ht="15" hidden="false" customHeight="false" outlineLevel="0" collapsed="false">
      <c r="A504" s="0" t="s">
        <v>1714</v>
      </c>
      <c r="B504" s="4" t="n">
        <v>45974</v>
      </c>
      <c r="C504" s="0" t="s">
        <v>361</v>
      </c>
      <c r="D504" s="0" t="n">
        <v>28</v>
      </c>
      <c r="E504" s="0" t="s">
        <v>1715</v>
      </c>
      <c r="F504" s="3" t="n">
        <f aca="false">D504*_xlfn.XLOOKUP(C504,Item_Master!A:A,Item_Master!G:G)</f>
        <v>70000</v>
      </c>
      <c r="G504" s="0" t="str">
        <f aca="false">TEXT(B504,"MMM YYYY")</f>
        <v>Nov 2025</v>
      </c>
    </row>
    <row r="505" customFormat="false" ht="15" hidden="false" customHeight="false" outlineLevel="0" collapsed="false">
      <c r="A505" s="0" t="s">
        <v>1716</v>
      </c>
      <c r="B505" s="4" t="n">
        <v>45974</v>
      </c>
      <c r="C505" s="0" t="s">
        <v>372</v>
      </c>
      <c r="D505" s="0" t="n">
        <v>28</v>
      </c>
      <c r="E505" s="0" t="s">
        <v>1717</v>
      </c>
      <c r="F505" s="3" t="n">
        <f aca="false">D505*_xlfn.XLOOKUP(C505,Item_Master!A:A,Item_Master!G:G)</f>
        <v>124600</v>
      </c>
      <c r="G505" s="0" t="str">
        <f aca="false">TEXT(B505,"MMM YYYY")</f>
        <v>Nov 2025</v>
      </c>
    </row>
    <row r="506" customFormat="false" ht="15" hidden="false" customHeight="false" outlineLevel="0" collapsed="false">
      <c r="A506" s="0" t="s">
        <v>1718</v>
      </c>
      <c r="B506" s="4" t="n">
        <v>45974</v>
      </c>
      <c r="C506" s="0" t="s">
        <v>432</v>
      </c>
      <c r="D506" s="0" t="n">
        <v>1</v>
      </c>
      <c r="E506" s="0" t="s">
        <v>1719</v>
      </c>
      <c r="F506" s="3" t="n">
        <f aca="false">D506*_xlfn.XLOOKUP(C506,Item_Master!A:A,Item_Master!G:G)</f>
        <v>3770</v>
      </c>
      <c r="G506" s="0" t="str">
        <f aca="false">TEXT(B506,"MMM YYYY")</f>
        <v>Nov 2025</v>
      </c>
    </row>
    <row r="507" customFormat="false" ht="15" hidden="false" customHeight="false" outlineLevel="0" collapsed="false">
      <c r="A507" s="0" t="s">
        <v>1720</v>
      </c>
      <c r="B507" s="4" t="n">
        <v>45974</v>
      </c>
      <c r="C507" s="0" t="s">
        <v>562</v>
      </c>
      <c r="D507" s="0" t="n">
        <v>9</v>
      </c>
      <c r="E507" s="0" t="s">
        <v>1721</v>
      </c>
      <c r="F507" s="3" t="n">
        <f aca="false">D507*_xlfn.XLOOKUP(C507,Item_Master!A:A,Item_Master!G:G)</f>
        <v>12870</v>
      </c>
      <c r="G507" s="0" t="str">
        <f aca="false">TEXT(B507,"MMM YYYY")</f>
        <v>Nov 2025</v>
      </c>
    </row>
    <row r="508" customFormat="false" ht="15" hidden="false" customHeight="false" outlineLevel="0" collapsed="false">
      <c r="A508" s="0" t="s">
        <v>1722</v>
      </c>
      <c r="B508" s="4" t="n">
        <v>45974</v>
      </c>
      <c r="C508" s="0" t="s">
        <v>586</v>
      </c>
      <c r="D508" s="0" t="n">
        <v>28</v>
      </c>
      <c r="E508" s="0" t="s">
        <v>1723</v>
      </c>
      <c r="F508" s="3" t="n">
        <f aca="false">D508*_xlfn.XLOOKUP(C508,Item_Master!A:A,Item_Master!G:G)</f>
        <v>47600</v>
      </c>
      <c r="G508" s="0" t="str">
        <f aca="false">TEXT(B508,"MMM YYYY")</f>
        <v>Nov 2025</v>
      </c>
    </row>
    <row r="509" customFormat="false" ht="15" hidden="false" customHeight="false" outlineLevel="0" collapsed="false">
      <c r="A509" s="0" t="s">
        <v>1724</v>
      </c>
      <c r="B509" s="4" t="n">
        <v>45974</v>
      </c>
      <c r="C509" s="0" t="s">
        <v>696</v>
      </c>
      <c r="D509" s="0" t="n">
        <v>32</v>
      </c>
      <c r="E509" s="0" t="s">
        <v>1725</v>
      </c>
      <c r="F509" s="3" t="n">
        <f aca="false">D509*_xlfn.XLOOKUP(C509,Item_Master!A:A,Item_Master!G:G)</f>
        <v>19840</v>
      </c>
      <c r="G509" s="0" t="str">
        <f aca="false">TEXT(B509,"MMM YYYY")</f>
        <v>Nov 2025</v>
      </c>
    </row>
    <row r="510" customFormat="false" ht="15" hidden="false" customHeight="false" outlineLevel="0" collapsed="false">
      <c r="A510" s="0" t="s">
        <v>1726</v>
      </c>
      <c r="B510" s="4" t="n">
        <v>45974</v>
      </c>
      <c r="C510" s="0" t="s">
        <v>704</v>
      </c>
      <c r="D510" s="0" t="n">
        <v>2</v>
      </c>
      <c r="E510" s="0" t="s">
        <v>1727</v>
      </c>
      <c r="F510" s="3" t="n">
        <f aca="false">D510*_xlfn.XLOOKUP(C510,Item_Master!A:A,Item_Master!G:G)</f>
        <v>920</v>
      </c>
      <c r="G510" s="0" t="str">
        <f aca="false">TEXT(B510,"MMM YYYY")</f>
        <v>Nov 2025</v>
      </c>
    </row>
    <row r="511" customFormat="false" ht="15" hidden="false" customHeight="false" outlineLevel="0" collapsed="false">
      <c r="A511" s="0" t="s">
        <v>1728</v>
      </c>
      <c r="B511" s="4" t="n">
        <v>45975</v>
      </c>
      <c r="C511" s="0" t="s">
        <v>58</v>
      </c>
      <c r="D511" s="0" t="n">
        <v>3</v>
      </c>
      <c r="E511" s="0" t="s">
        <v>1729</v>
      </c>
      <c r="F511" s="3" t="n">
        <f aca="false">D511*_xlfn.XLOOKUP(C511,Item_Master!A:A,Item_Master!G:G)</f>
        <v>3030</v>
      </c>
      <c r="G511" s="0" t="str">
        <f aca="false">TEXT(B511,"MMM YYYY")</f>
        <v>Nov 2025</v>
      </c>
    </row>
    <row r="512" customFormat="false" ht="15" hidden="false" customHeight="false" outlineLevel="0" collapsed="false">
      <c r="A512" s="0" t="s">
        <v>1730</v>
      </c>
      <c r="B512" s="4" t="n">
        <v>45975</v>
      </c>
      <c r="C512" s="0" t="s">
        <v>191</v>
      </c>
      <c r="D512" s="0" t="n">
        <v>16</v>
      </c>
      <c r="E512" s="0" t="s">
        <v>1731</v>
      </c>
      <c r="F512" s="3" t="n">
        <f aca="false">D512*_xlfn.XLOOKUP(C512,Item_Master!A:A,Item_Master!G:G)</f>
        <v>183680</v>
      </c>
      <c r="G512" s="0" t="str">
        <f aca="false">TEXT(B512,"MMM YYYY")</f>
        <v>Nov 2025</v>
      </c>
    </row>
    <row r="513" customFormat="false" ht="15" hidden="false" customHeight="false" outlineLevel="0" collapsed="false">
      <c r="A513" s="0" t="s">
        <v>1732</v>
      </c>
      <c r="B513" s="4" t="n">
        <v>45975</v>
      </c>
      <c r="C513" s="0" t="s">
        <v>324</v>
      </c>
      <c r="D513" s="0" t="n">
        <v>2</v>
      </c>
      <c r="E513" s="0" t="s">
        <v>1733</v>
      </c>
      <c r="F513" s="3" t="n">
        <f aca="false">D513*_xlfn.XLOOKUP(C513,Item_Master!A:A,Item_Master!G:G)</f>
        <v>39960</v>
      </c>
      <c r="G513" s="0" t="str">
        <f aca="false">TEXT(B513,"MMM YYYY")</f>
        <v>Nov 2025</v>
      </c>
    </row>
    <row r="514" customFormat="false" ht="15" hidden="false" customHeight="false" outlineLevel="0" collapsed="false">
      <c r="A514" s="0" t="s">
        <v>1734</v>
      </c>
      <c r="B514" s="4" t="n">
        <v>45975</v>
      </c>
      <c r="C514" s="0" t="s">
        <v>428</v>
      </c>
      <c r="D514" s="0" t="n">
        <v>4</v>
      </c>
      <c r="E514" s="0" t="s">
        <v>1735</v>
      </c>
      <c r="F514" s="3" t="n">
        <f aca="false">D514*_xlfn.XLOOKUP(C514,Item_Master!A:A,Item_Master!G:G)</f>
        <v>4480</v>
      </c>
      <c r="G514" s="0" t="str">
        <f aca="false">TEXT(B514,"MMM YYYY")</f>
        <v>Nov 2025</v>
      </c>
    </row>
    <row r="515" customFormat="false" ht="15" hidden="false" customHeight="false" outlineLevel="0" collapsed="false">
      <c r="A515" s="0" t="s">
        <v>1736</v>
      </c>
      <c r="B515" s="4" t="n">
        <v>45975</v>
      </c>
      <c r="C515" s="0" t="s">
        <v>443</v>
      </c>
      <c r="D515" s="0" t="n">
        <v>2</v>
      </c>
      <c r="E515" s="0" t="s">
        <v>1737</v>
      </c>
      <c r="F515" s="3" t="n">
        <f aca="false">D515*_xlfn.XLOOKUP(C515,Item_Master!A:A,Item_Master!G:G)</f>
        <v>3360</v>
      </c>
      <c r="G515" s="0" t="str">
        <f aca="false">TEXT(B515,"MMM YYYY")</f>
        <v>Nov 2025</v>
      </c>
    </row>
    <row r="516" customFormat="false" ht="15" hidden="false" customHeight="false" outlineLevel="0" collapsed="false">
      <c r="A516" s="0" t="s">
        <v>1738</v>
      </c>
      <c r="B516" s="4" t="n">
        <v>45975</v>
      </c>
      <c r="C516" s="0" t="s">
        <v>472</v>
      </c>
      <c r="D516" s="0" t="n">
        <v>12</v>
      </c>
      <c r="E516" s="0" t="s">
        <v>1739</v>
      </c>
      <c r="F516" s="3" t="n">
        <f aca="false">D516*_xlfn.XLOOKUP(C516,Item_Master!A:A,Item_Master!G:G)</f>
        <v>44400</v>
      </c>
      <c r="G516" s="0" t="str">
        <f aca="false">TEXT(B516,"MMM YYYY")</f>
        <v>Nov 2025</v>
      </c>
    </row>
    <row r="517" customFormat="false" ht="15" hidden="false" customHeight="false" outlineLevel="0" collapsed="false">
      <c r="A517" s="0" t="s">
        <v>1740</v>
      </c>
      <c r="B517" s="4" t="n">
        <v>45975</v>
      </c>
      <c r="C517" s="0" t="s">
        <v>486</v>
      </c>
      <c r="D517" s="0" t="n">
        <v>16</v>
      </c>
      <c r="E517" s="0" t="s">
        <v>1741</v>
      </c>
      <c r="F517" s="3" t="n">
        <f aca="false">D517*_xlfn.XLOOKUP(C517,Item_Master!A:A,Item_Master!G:G)</f>
        <v>27200</v>
      </c>
      <c r="G517" s="0" t="str">
        <f aca="false">TEXT(B517,"MMM YYYY")</f>
        <v>Nov 2025</v>
      </c>
    </row>
    <row r="518" customFormat="false" ht="15" hidden="false" customHeight="false" outlineLevel="0" collapsed="false">
      <c r="A518" s="0" t="s">
        <v>1742</v>
      </c>
      <c r="B518" s="4" t="n">
        <v>45975</v>
      </c>
      <c r="C518" s="0" t="s">
        <v>523</v>
      </c>
      <c r="D518" s="0" t="n">
        <v>15</v>
      </c>
      <c r="E518" s="0" t="s">
        <v>1743</v>
      </c>
      <c r="F518" s="3" t="n">
        <f aca="false">D518*_xlfn.XLOOKUP(C518,Item_Master!A:A,Item_Master!G:G)</f>
        <v>44550</v>
      </c>
      <c r="G518" s="0" t="str">
        <f aca="false">TEXT(B518,"MMM YYYY")</f>
        <v>Nov 2025</v>
      </c>
    </row>
    <row r="519" customFormat="false" ht="15" hidden="false" customHeight="false" outlineLevel="0" collapsed="false">
      <c r="A519" s="0" t="s">
        <v>1744</v>
      </c>
      <c r="B519" s="4" t="n">
        <v>45975</v>
      </c>
      <c r="C519" s="0" t="s">
        <v>570</v>
      </c>
      <c r="D519" s="0" t="n">
        <v>9</v>
      </c>
      <c r="E519" s="0" t="s">
        <v>1745</v>
      </c>
      <c r="F519" s="3" t="n">
        <f aca="false">D519*_xlfn.XLOOKUP(C519,Item_Master!A:A,Item_Master!G:G)</f>
        <v>14220</v>
      </c>
      <c r="G519" s="0" t="str">
        <f aca="false">TEXT(B519,"MMM YYYY")</f>
        <v>Nov 2025</v>
      </c>
    </row>
    <row r="520" customFormat="false" ht="15" hidden="false" customHeight="false" outlineLevel="0" collapsed="false">
      <c r="A520" s="0" t="s">
        <v>1746</v>
      </c>
      <c r="B520" s="4" t="n">
        <v>45975</v>
      </c>
      <c r="C520" s="0" t="s">
        <v>608</v>
      </c>
      <c r="D520" s="0" t="n">
        <v>1</v>
      </c>
      <c r="E520" s="0" t="s">
        <v>1747</v>
      </c>
      <c r="F520" s="3" t="n">
        <f aca="false">D520*_xlfn.XLOOKUP(C520,Item_Master!A:A,Item_Master!G:G)</f>
        <v>1590</v>
      </c>
      <c r="G520" s="0" t="str">
        <f aca="false">TEXT(B520,"MMM YYYY")</f>
        <v>Nov 2025</v>
      </c>
    </row>
    <row r="521" customFormat="false" ht="15" hidden="false" customHeight="false" outlineLevel="0" collapsed="false">
      <c r="A521" s="0" t="s">
        <v>1748</v>
      </c>
      <c r="B521" s="4" t="n">
        <v>45975</v>
      </c>
      <c r="C521" s="0" t="s">
        <v>706</v>
      </c>
      <c r="D521" s="0" t="n">
        <v>31</v>
      </c>
      <c r="E521" s="0" t="s">
        <v>1749</v>
      </c>
      <c r="F521" s="3" t="n">
        <f aca="false">D521*_xlfn.XLOOKUP(C521,Item_Master!A:A,Item_Master!G:G)</f>
        <v>38130</v>
      </c>
      <c r="G521" s="0" t="str">
        <f aca="false">TEXT(B521,"MMM YYYY")</f>
        <v>Nov 2025</v>
      </c>
    </row>
    <row r="522" customFormat="false" ht="15" hidden="false" customHeight="false" outlineLevel="0" collapsed="false">
      <c r="A522" s="0" t="s">
        <v>1750</v>
      </c>
      <c r="B522" s="4" t="n">
        <v>45976</v>
      </c>
      <c r="C522" s="0" t="s">
        <v>92</v>
      </c>
      <c r="D522" s="0" t="n">
        <v>1</v>
      </c>
      <c r="E522" s="0" t="s">
        <v>1751</v>
      </c>
      <c r="F522" s="3" t="n">
        <f aca="false">D522*_xlfn.XLOOKUP(C522,Item_Master!A:A,Item_Master!G:G)</f>
        <v>2430</v>
      </c>
      <c r="G522" s="0" t="str">
        <f aca="false">TEXT(B522,"MMM YYYY")</f>
        <v>Nov 2025</v>
      </c>
    </row>
    <row r="523" customFormat="false" ht="15" hidden="false" customHeight="false" outlineLevel="0" collapsed="false">
      <c r="A523" s="0" t="s">
        <v>1752</v>
      </c>
      <c r="B523" s="4" t="n">
        <v>45976</v>
      </c>
      <c r="C523" s="0" t="s">
        <v>133</v>
      </c>
      <c r="D523" s="0" t="n">
        <v>19</v>
      </c>
      <c r="E523" s="0" t="s">
        <v>1753</v>
      </c>
      <c r="F523" s="3" t="n">
        <f aca="false">D523*_xlfn.XLOOKUP(C523,Item_Master!A:A,Item_Master!G:G)</f>
        <v>23560</v>
      </c>
      <c r="G523" s="0" t="str">
        <f aca="false">TEXT(B523,"MMM YYYY")</f>
        <v>Nov 2025</v>
      </c>
    </row>
    <row r="524" customFormat="false" ht="15" hidden="false" customHeight="false" outlineLevel="0" collapsed="false">
      <c r="A524" s="0" t="s">
        <v>1754</v>
      </c>
      <c r="B524" s="4" t="n">
        <v>45976</v>
      </c>
      <c r="C524" s="0" t="s">
        <v>200</v>
      </c>
      <c r="D524" s="0" t="n">
        <v>1</v>
      </c>
      <c r="E524" s="0" t="s">
        <v>1755</v>
      </c>
      <c r="F524" s="3" t="n">
        <f aca="false">D524*_xlfn.XLOOKUP(C524,Item_Master!A:A,Item_Master!G:G)</f>
        <v>1040</v>
      </c>
      <c r="G524" s="0" t="str">
        <f aca="false">TEXT(B524,"MMM YYYY")</f>
        <v>Nov 2025</v>
      </c>
    </row>
    <row r="525" customFormat="false" ht="15" hidden="false" customHeight="false" outlineLevel="0" collapsed="false">
      <c r="A525" s="0" t="s">
        <v>1756</v>
      </c>
      <c r="B525" s="4" t="n">
        <v>45976</v>
      </c>
      <c r="C525" s="0" t="s">
        <v>267</v>
      </c>
      <c r="D525" s="0" t="n">
        <v>19</v>
      </c>
      <c r="E525" s="0" t="s">
        <v>1757</v>
      </c>
      <c r="F525" s="3" t="n">
        <f aca="false">D525*_xlfn.XLOOKUP(C525,Item_Master!A:A,Item_Master!G:G)</f>
        <v>3230</v>
      </c>
      <c r="G525" s="0" t="str">
        <f aca="false">TEXT(B525,"MMM YYYY")</f>
        <v>Nov 2025</v>
      </c>
    </row>
    <row r="526" customFormat="false" ht="15" hidden="false" customHeight="false" outlineLevel="0" collapsed="false">
      <c r="A526" s="0" t="s">
        <v>1758</v>
      </c>
      <c r="B526" s="4" t="n">
        <v>45976</v>
      </c>
      <c r="C526" s="0" t="s">
        <v>314</v>
      </c>
      <c r="D526" s="0" t="n">
        <v>1</v>
      </c>
      <c r="E526" s="0" t="s">
        <v>1759</v>
      </c>
      <c r="F526" s="3" t="n">
        <f aca="false">D526*_xlfn.XLOOKUP(C526,Item_Master!A:A,Item_Master!G:G)</f>
        <v>3430</v>
      </c>
      <c r="G526" s="0" t="str">
        <f aca="false">TEXT(B526,"MMM YYYY")</f>
        <v>Nov 2025</v>
      </c>
    </row>
    <row r="527" customFormat="false" ht="15" hidden="false" customHeight="false" outlineLevel="0" collapsed="false">
      <c r="A527" s="0" t="s">
        <v>1760</v>
      </c>
      <c r="B527" s="4" t="n">
        <v>45976</v>
      </c>
      <c r="C527" s="0" t="s">
        <v>351</v>
      </c>
      <c r="D527" s="0" t="n">
        <v>3</v>
      </c>
      <c r="E527" s="0" t="s">
        <v>1761</v>
      </c>
      <c r="F527" s="3" t="n">
        <f aca="false">D527*_xlfn.XLOOKUP(C527,Item_Master!A:A,Item_Master!G:G)</f>
        <v>5340</v>
      </c>
      <c r="G527" s="0" t="str">
        <f aca="false">TEXT(B527,"MMM YYYY")</f>
        <v>Nov 2025</v>
      </c>
    </row>
    <row r="528" customFormat="false" ht="15" hidden="false" customHeight="false" outlineLevel="0" collapsed="false">
      <c r="A528" s="0" t="s">
        <v>1762</v>
      </c>
      <c r="B528" s="4" t="n">
        <v>45976</v>
      </c>
      <c r="C528" s="0" t="s">
        <v>459</v>
      </c>
      <c r="D528" s="0" t="n">
        <v>3</v>
      </c>
      <c r="E528" s="0" t="s">
        <v>1763</v>
      </c>
      <c r="F528" s="3" t="n">
        <f aca="false">D528*_xlfn.XLOOKUP(C528,Item_Master!A:A,Item_Master!G:G)</f>
        <v>26310</v>
      </c>
      <c r="G528" s="0" t="str">
        <f aca="false">TEXT(B528,"MMM YYYY")</f>
        <v>Nov 2025</v>
      </c>
    </row>
    <row r="529" customFormat="false" ht="15" hidden="false" customHeight="false" outlineLevel="0" collapsed="false">
      <c r="A529" s="0" t="s">
        <v>1764</v>
      </c>
      <c r="B529" s="4" t="n">
        <v>45976</v>
      </c>
      <c r="C529" s="0" t="s">
        <v>531</v>
      </c>
      <c r="D529" s="0" t="n">
        <v>23</v>
      </c>
      <c r="E529" s="0" t="s">
        <v>1765</v>
      </c>
      <c r="F529" s="3" t="n">
        <f aca="false">D529*_xlfn.XLOOKUP(C529,Item_Master!A:A,Item_Master!G:G)</f>
        <v>37260</v>
      </c>
      <c r="G529" s="0" t="str">
        <f aca="false">TEXT(B529,"MMM YYYY")</f>
        <v>Nov 2025</v>
      </c>
    </row>
    <row r="530" customFormat="false" ht="15" hidden="false" customHeight="false" outlineLevel="0" collapsed="false">
      <c r="A530" s="0" t="s">
        <v>1766</v>
      </c>
      <c r="B530" s="4" t="n">
        <v>45977</v>
      </c>
      <c r="C530" s="0" t="s">
        <v>71</v>
      </c>
      <c r="D530" s="0" t="n">
        <v>4</v>
      </c>
      <c r="E530" s="0" t="s">
        <v>1767</v>
      </c>
      <c r="F530" s="3" t="n">
        <f aca="false">D530*_xlfn.XLOOKUP(C530,Item_Master!A:A,Item_Master!G:G)</f>
        <v>1880</v>
      </c>
      <c r="G530" s="0" t="str">
        <f aca="false">TEXT(B530,"MMM YYYY")</f>
        <v>Nov 2025</v>
      </c>
    </row>
    <row r="531" customFormat="false" ht="15" hidden="false" customHeight="false" outlineLevel="0" collapsed="false">
      <c r="A531" s="0" t="s">
        <v>1768</v>
      </c>
      <c r="B531" s="4" t="n">
        <v>45977</v>
      </c>
      <c r="C531" s="0" t="s">
        <v>193</v>
      </c>
      <c r="D531" s="0" t="n">
        <v>22</v>
      </c>
      <c r="E531" s="0" t="s">
        <v>1769</v>
      </c>
      <c r="F531" s="3" t="n">
        <f aca="false">D531*_xlfn.XLOOKUP(C531,Item_Master!A:A,Item_Master!G:G)</f>
        <v>418660</v>
      </c>
      <c r="G531" s="0" t="str">
        <f aca="false">TEXT(B531,"MMM YYYY")</f>
        <v>Nov 2025</v>
      </c>
    </row>
    <row r="532" customFormat="false" ht="15" hidden="false" customHeight="false" outlineLevel="0" collapsed="false">
      <c r="A532" s="0" t="s">
        <v>1770</v>
      </c>
      <c r="B532" s="4" t="n">
        <v>45977</v>
      </c>
      <c r="C532" s="0" t="s">
        <v>271</v>
      </c>
      <c r="D532" s="0" t="n">
        <v>3</v>
      </c>
      <c r="E532" s="0" t="s">
        <v>1771</v>
      </c>
      <c r="F532" s="3" t="n">
        <f aca="false">D532*_xlfn.XLOOKUP(C532,Item_Master!A:A,Item_Master!G:G)</f>
        <v>1800</v>
      </c>
      <c r="G532" s="0" t="str">
        <f aca="false">TEXT(B532,"MMM YYYY")</f>
        <v>Nov 2025</v>
      </c>
    </row>
    <row r="533" customFormat="false" ht="15" hidden="false" customHeight="false" outlineLevel="0" collapsed="false">
      <c r="A533" s="0" t="s">
        <v>1772</v>
      </c>
      <c r="B533" s="4" t="n">
        <v>45977</v>
      </c>
      <c r="C533" s="0" t="s">
        <v>320</v>
      </c>
      <c r="D533" s="0" t="n">
        <v>3</v>
      </c>
      <c r="E533" s="0" t="s">
        <v>1773</v>
      </c>
      <c r="F533" s="3" t="n">
        <f aca="false">D533*_xlfn.XLOOKUP(C533,Item_Master!A:A,Item_Master!G:G)</f>
        <v>1740</v>
      </c>
      <c r="G533" s="0" t="str">
        <f aca="false">TEXT(B533,"MMM YYYY")</f>
        <v>Nov 2025</v>
      </c>
    </row>
    <row r="534" customFormat="false" ht="15" hidden="false" customHeight="false" outlineLevel="0" collapsed="false">
      <c r="A534" s="0" t="s">
        <v>1774</v>
      </c>
      <c r="B534" s="4" t="n">
        <v>45977</v>
      </c>
      <c r="C534" s="0" t="s">
        <v>392</v>
      </c>
      <c r="D534" s="0" t="n">
        <v>6</v>
      </c>
      <c r="E534" s="0" t="s">
        <v>1775</v>
      </c>
      <c r="F534" s="3" t="n">
        <f aca="false">D534*_xlfn.XLOOKUP(C534,Item_Master!A:A,Item_Master!G:G)</f>
        <v>3780</v>
      </c>
      <c r="G534" s="0" t="str">
        <f aca="false">TEXT(B534,"MMM YYYY")</f>
        <v>Nov 2025</v>
      </c>
    </row>
    <row r="535" customFormat="false" ht="15" hidden="false" customHeight="false" outlineLevel="0" collapsed="false">
      <c r="A535" s="0" t="s">
        <v>1776</v>
      </c>
      <c r="B535" s="4" t="n">
        <v>45977</v>
      </c>
      <c r="C535" s="0" t="s">
        <v>396</v>
      </c>
      <c r="D535" s="0" t="n">
        <v>2</v>
      </c>
      <c r="E535" s="0" t="s">
        <v>1777</v>
      </c>
      <c r="F535" s="3" t="n">
        <f aca="false">D535*_xlfn.XLOOKUP(C535,Item_Master!A:A,Item_Master!G:G)</f>
        <v>5280</v>
      </c>
      <c r="G535" s="0" t="str">
        <f aca="false">TEXT(B535,"MMM YYYY")</f>
        <v>Nov 2025</v>
      </c>
    </row>
    <row r="536" customFormat="false" ht="15" hidden="false" customHeight="false" outlineLevel="0" collapsed="false">
      <c r="A536" s="0" t="s">
        <v>1778</v>
      </c>
      <c r="B536" s="4" t="n">
        <v>45977</v>
      </c>
      <c r="C536" s="0" t="s">
        <v>533</v>
      </c>
      <c r="D536" s="0" t="n">
        <v>5</v>
      </c>
      <c r="E536" s="0" t="s">
        <v>1779</v>
      </c>
      <c r="F536" s="3" t="n">
        <f aca="false">D536*_xlfn.XLOOKUP(C536,Item_Master!A:A,Item_Master!G:G)</f>
        <v>8600</v>
      </c>
      <c r="G536" s="0" t="str">
        <f aca="false">TEXT(B536,"MMM YYYY")</f>
        <v>Nov 2025</v>
      </c>
    </row>
    <row r="537" customFormat="false" ht="15" hidden="false" customHeight="false" outlineLevel="0" collapsed="false">
      <c r="A537" s="0" t="s">
        <v>1780</v>
      </c>
      <c r="B537" s="4" t="n">
        <v>45977</v>
      </c>
      <c r="C537" s="0" t="s">
        <v>610</v>
      </c>
      <c r="D537" s="0" t="n">
        <v>4</v>
      </c>
      <c r="E537" s="0" t="s">
        <v>1781</v>
      </c>
      <c r="F537" s="3" t="n">
        <f aca="false">D537*_xlfn.XLOOKUP(C537,Item_Master!A:A,Item_Master!G:G)</f>
        <v>9120</v>
      </c>
      <c r="G537" s="0" t="str">
        <f aca="false">TEXT(B537,"MMM YYYY")</f>
        <v>Nov 2025</v>
      </c>
    </row>
    <row r="538" customFormat="false" ht="15" hidden="false" customHeight="false" outlineLevel="0" collapsed="false">
      <c r="A538" s="0" t="s">
        <v>1782</v>
      </c>
      <c r="B538" s="4" t="n">
        <v>45977</v>
      </c>
      <c r="C538" s="0" t="s">
        <v>616</v>
      </c>
      <c r="D538" s="0" t="n">
        <v>13</v>
      </c>
      <c r="E538" s="0" t="s">
        <v>1783</v>
      </c>
      <c r="F538" s="3" t="n">
        <f aca="false">D538*_xlfn.XLOOKUP(C538,Item_Master!A:A,Item_Master!G:G)</f>
        <v>48880</v>
      </c>
      <c r="G538" s="0" t="str">
        <f aca="false">TEXT(B538,"MMM YYYY")</f>
        <v>Nov 2025</v>
      </c>
    </row>
    <row r="539" customFormat="false" ht="15" hidden="false" customHeight="false" outlineLevel="0" collapsed="false">
      <c r="A539" s="0" t="s">
        <v>1784</v>
      </c>
      <c r="B539" s="4" t="n">
        <v>45978</v>
      </c>
      <c r="C539" s="0" t="s">
        <v>277</v>
      </c>
      <c r="D539" s="0" t="n">
        <v>24</v>
      </c>
      <c r="E539" s="0" t="s">
        <v>1785</v>
      </c>
      <c r="F539" s="3" t="n">
        <f aca="false">D539*_xlfn.XLOOKUP(C539,Item_Master!A:A,Item_Master!G:G)</f>
        <v>47040</v>
      </c>
      <c r="G539" s="0" t="str">
        <f aca="false">TEXT(B539,"MMM YYYY")</f>
        <v>Nov 2025</v>
      </c>
    </row>
    <row r="540" customFormat="false" ht="15" hidden="false" customHeight="false" outlineLevel="0" collapsed="false">
      <c r="A540" s="0" t="s">
        <v>1786</v>
      </c>
      <c r="B540" s="4" t="n">
        <v>45978</v>
      </c>
      <c r="C540" s="0" t="s">
        <v>361</v>
      </c>
      <c r="D540" s="0" t="n">
        <v>4</v>
      </c>
      <c r="E540" s="0" t="s">
        <v>1787</v>
      </c>
      <c r="F540" s="3" t="n">
        <f aca="false">D540*_xlfn.XLOOKUP(C540,Item_Master!A:A,Item_Master!G:G)</f>
        <v>10000</v>
      </c>
      <c r="G540" s="0" t="str">
        <f aca="false">TEXT(B540,"MMM YYYY")</f>
        <v>Nov 2025</v>
      </c>
    </row>
    <row r="541" customFormat="false" ht="15" hidden="false" customHeight="false" outlineLevel="0" collapsed="false">
      <c r="A541" s="0" t="s">
        <v>1788</v>
      </c>
      <c r="B541" s="4" t="n">
        <v>45978</v>
      </c>
      <c r="C541" s="0" t="s">
        <v>370</v>
      </c>
      <c r="D541" s="0" t="n">
        <v>2</v>
      </c>
      <c r="E541" s="0" t="s">
        <v>1789</v>
      </c>
      <c r="F541" s="3" t="n">
        <f aca="false">D541*_xlfn.XLOOKUP(C541,Item_Master!A:A,Item_Master!G:G)</f>
        <v>2340</v>
      </c>
      <c r="G541" s="0" t="str">
        <f aca="false">TEXT(B541,"MMM YYYY")</f>
        <v>Nov 2025</v>
      </c>
    </row>
    <row r="542" customFormat="false" ht="15" hidden="false" customHeight="false" outlineLevel="0" collapsed="false">
      <c r="A542" s="0" t="s">
        <v>1790</v>
      </c>
      <c r="B542" s="4" t="n">
        <v>45978</v>
      </c>
      <c r="C542" s="0" t="s">
        <v>403</v>
      </c>
      <c r="D542" s="0" t="n">
        <v>2</v>
      </c>
      <c r="E542" s="0" t="s">
        <v>1791</v>
      </c>
      <c r="F542" s="3" t="n">
        <f aca="false">D542*_xlfn.XLOOKUP(C542,Item_Master!A:A,Item_Master!G:G)</f>
        <v>7820</v>
      </c>
      <c r="G542" s="0" t="str">
        <f aca="false">TEXT(B542,"MMM YYYY")</f>
        <v>Nov 2025</v>
      </c>
    </row>
    <row r="543" customFormat="false" ht="15" hidden="false" customHeight="false" outlineLevel="0" collapsed="false">
      <c r="A543" s="0" t="s">
        <v>1792</v>
      </c>
      <c r="B543" s="4" t="n">
        <v>45978</v>
      </c>
      <c r="C543" s="0" t="s">
        <v>424</v>
      </c>
      <c r="D543" s="0" t="n">
        <v>24</v>
      </c>
      <c r="E543" s="0" t="s">
        <v>1793</v>
      </c>
      <c r="F543" s="3" t="n">
        <f aca="false">D543*_xlfn.XLOOKUP(C543,Item_Master!A:A,Item_Master!G:G)</f>
        <v>59040</v>
      </c>
      <c r="G543" s="0" t="str">
        <f aca="false">TEXT(B543,"MMM YYYY")</f>
        <v>Nov 2025</v>
      </c>
    </row>
    <row r="544" customFormat="false" ht="15" hidden="false" customHeight="false" outlineLevel="0" collapsed="false">
      <c r="A544" s="0" t="s">
        <v>1794</v>
      </c>
      <c r="B544" s="4" t="n">
        <v>45978</v>
      </c>
      <c r="C544" s="0" t="s">
        <v>489</v>
      </c>
      <c r="D544" s="0" t="n">
        <v>33</v>
      </c>
      <c r="E544" s="0" t="s">
        <v>1795</v>
      </c>
      <c r="F544" s="3" t="n">
        <f aca="false">D544*_xlfn.XLOOKUP(C544,Item_Master!A:A,Item_Master!G:G)</f>
        <v>266640</v>
      </c>
      <c r="G544" s="0" t="str">
        <f aca="false">TEXT(B544,"MMM YYYY")</f>
        <v>Nov 2025</v>
      </c>
    </row>
    <row r="545" customFormat="false" ht="15" hidden="false" customHeight="false" outlineLevel="0" collapsed="false">
      <c r="A545" s="0" t="s">
        <v>1796</v>
      </c>
      <c r="B545" s="4" t="n">
        <v>45978</v>
      </c>
      <c r="C545" s="0" t="s">
        <v>575</v>
      </c>
      <c r="D545" s="0" t="n">
        <v>35</v>
      </c>
      <c r="E545" s="0" t="s">
        <v>1797</v>
      </c>
      <c r="F545" s="3" t="n">
        <f aca="false">D545*_xlfn.XLOOKUP(C545,Item_Master!A:A,Item_Master!G:G)</f>
        <v>416150</v>
      </c>
      <c r="G545" s="0" t="str">
        <f aca="false">TEXT(B545,"MMM YYYY")</f>
        <v>Nov 2025</v>
      </c>
    </row>
    <row r="546" customFormat="false" ht="15" hidden="false" customHeight="false" outlineLevel="0" collapsed="false">
      <c r="A546" s="0" t="s">
        <v>1798</v>
      </c>
      <c r="B546" s="4" t="n">
        <v>45978</v>
      </c>
      <c r="C546" s="0" t="s">
        <v>582</v>
      </c>
      <c r="D546" s="0" t="n">
        <v>9</v>
      </c>
      <c r="E546" s="0" t="s">
        <v>1799</v>
      </c>
      <c r="F546" s="3" t="n">
        <f aca="false">D546*_xlfn.XLOOKUP(C546,Item_Master!A:A,Item_Master!G:G)</f>
        <v>173610</v>
      </c>
      <c r="G546" s="0" t="str">
        <f aca="false">TEXT(B546,"MMM YYYY")</f>
        <v>Nov 2025</v>
      </c>
    </row>
    <row r="547" customFormat="false" ht="15" hidden="false" customHeight="false" outlineLevel="0" collapsed="false">
      <c r="A547" s="0" t="s">
        <v>1800</v>
      </c>
      <c r="B547" s="4" t="n">
        <v>45978</v>
      </c>
      <c r="C547" s="0" t="s">
        <v>582</v>
      </c>
      <c r="D547" s="0" t="n">
        <v>21</v>
      </c>
      <c r="E547" s="0" t="s">
        <v>1388</v>
      </c>
      <c r="F547" s="3" t="n">
        <f aca="false">D547*_xlfn.XLOOKUP(C547,Item_Master!A:A,Item_Master!G:G)</f>
        <v>405090</v>
      </c>
      <c r="G547" s="0" t="str">
        <f aca="false">TEXT(B547,"MMM YYYY")</f>
        <v>Nov 2025</v>
      </c>
    </row>
    <row r="548" customFormat="false" ht="15" hidden="false" customHeight="false" outlineLevel="0" collapsed="false">
      <c r="A548" s="0" t="s">
        <v>1801</v>
      </c>
      <c r="B548" s="4" t="n">
        <v>45978</v>
      </c>
      <c r="C548" s="0" t="s">
        <v>620</v>
      </c>
      <c r="D548" s="0" t="n">
        <v>7</v>
      </c>
      <c r="E548" s="0" t="s">
        <v>1802</v>
      </c>
      <c r="F548" s="3" t="n">
        <f aca="false">D548*_xlfn.XLOOKUP(C548,Item_Master!A:A,Item_Master!G:G)</f>
        <v>8610</v>
      </c>
      <c r="G548" s="0" t="str">
        <f aca="false">TEXT(B548,"MMM YYYY")</f>
        <v>Nov 2025</v>
      </c>
    </row>
    <row r="549" customFormat="false" ht="15" hidden="false" customHeight="false" outlineLevel="0" collapsed="false">
      <c r="A549" s="0" t="s">
        <v>1803</v>
      </c>
      <c r="B549" s="4" t="n">
        <v>45978</v>
      </c>
      <c r="C549" s="0" t="s">
        <v>674</v>
      </c>
      <c r="D549" s="0" t="n">
        <v>2</v>
      </c>
      <c r="E549" s="0" t="s">
        <v>1804</v>
      </c>
      <c r="F549" s="3" t="n">
        <f aca="false">D549*_xlfn.XLOOKUP(C549,Item_Master!A:A,Item_Master!G:G)</f>
        <v>1420</v>
      </c>
      <c r="G549" s="0" t="str">
        <f aca="false">TEXT(B549,"MMM YYYY")</f>
        <v>Nov 2025</v>
      </c>
    </row>
    <row r="550" customFormat="false" ht="15" hidden="false" customHeight="false" outlineLevel="0" collapsed="false">
      <c r="A550" s="0" t="s">
        <v>1805</v>
      </c>
      <c r="B550" s="4" t="n">
        <v>45978</v>
      </c>
      <c r="C550" s="0" t="s">
        <v>688</v>
      </c>
      <c r="D550" s="0" t="n">
        <v>2</v>
      </c>
      <c r="E550" s="0" t="s">
        <v>1806</v>
      </c>
      <c r="F550" s="3" t="n">
        <f aca="false">D550*_xlfn.XLOOKUP(C550,Item_Master!A:A,Item_Master!G:G)</f>
        <v>19480</v>
      </c>
      <c r="G550" s="0" t="str">
        <f aca="false">TEXT(B550,"MMM YYYY")</f>
        <v>Nov 2025</v>
      </c>
    </row>
    <row r="551" customFormat="false" ht="15" hidden="false" customHeight="false" outlineLevel="0" collapsed="false">
      <c r="A551" s="0" t="s">
        <v>1807</v>
      </c>
      <c r="B551" s="4" t="n">
        <v>45978</v>
      </c>
      <c r="C551" s="0" t="s">
        <v>707</v>
      </c>
      <c r="D551" s="0" t="n">
        <v>4</v>
      </c>
      <c r="E551" s="0" t="s">
        <v>1808</v>
      </c>
      <c r="F551" s="3" t="n">
        <f aca="false">D551*_xlfn.XLOOKUP(C551,Item_Master!A:A,Item_Master!G:G)</f>
        <v>50880</v>
      </c>
      <c r="G551" s="0" t="str">
        <f aca="false">TEXT(B551,"MMM YYYY")</f>
        <v>Nov 2025</v>
      </c>
    </row>
    <row r="552" customFormat="false" ht="15" hidden="false" customHeight="false" outlineLevel="0" collapsed="false">
      <c r="A552" s="0" t="s">
        <v>1809</v>
      </c>
      <c r="B552" s="4" t="n">
        <v>45979</v>
      </c>
      <c r="C552" s="0" t="s">
        <v>170</v>
      </c>
      <c r="D552" s="0" t="n">
        <v>17</v>
      </c>
      <c r="E552" s="0" t="s">
        <v>1810</v>
      </c>
      <c r="F552" s="3" t="n">
        <f aca="false">D552*_xlfn.XLOOKUP(C552,Item_Master!A:A,Item_Master!G:G)</f>
        <v>6290</v>
      </c>
      <c r="G552" s="0" t="str">
        <f aca="false">TEXT(B552,"MMM YYYY")</f>
        <v>Nov 2025</v>
      </c>
    </row>
    <row r="553" customFormat="false" ht="15" hidden="false" customHeight="false" outlineLevel="0" collapsed="false">
      <c r="A553" s="0" t="s">
        <v>1811</v>
      </c>
      <c r="B553" s="4" t="n">
        <v>45979</v>
      </c>
      <c r="C553" s="0" t="s">
        <v>293</v>
      </c>
      <c r="D553" s="0" t="n">
        <v>24</v>
      </c>
      <c r="E553" s="0" t="s">
        <v>1812</v>
      </c>
      <c r="F553" s="3" t="n">
        <f aca="false">D553*_xlfn.XLOOKUP(C553,Item_Master!A:A,Item_Master!G:G)</f>
        <v>14640</v>
      </c>
      <c r="G553" s="0" t="str">
        <f aca="false">TEXT(B553,"MMM YYYY")</f>
        <v>Nov 2025</v>
      </c>
    </row>
    <row r="554" customFormat="false" ht="15" hidden="false" customHeight="false" outlineLevel="0" collapsed="false">
      <c r="A554" s="0" t="s">
        <v>1813</v>
      </c>
      <c r="B554" s="4" t="n">
        <v>45979</v>
      </c>
      <c r="C554" s="0" t="s">
        <v>366</v>
      </c>
      <c r="D554" s="0" t="n">
        <v>6</v>
      </c>
      <c r="E554" s="0" t="s">
        <v>1814</v>
      </c>
      <c r="F554" s="3" t="n">
        <f aca="false">D554*_xlfn.XLOOKUP(C554,Item_Master!A:A,Item_Master!G:G)</f>
        <v>16380</v>
      </c>
      <c r="G554" s="0" t="str">
        <f aca="false">TEXT(B554,"MMM YYYY")</f>
        <v>Nov 2025</v>
      </c>
    </row>
    <row r="555" customFormat="false" ht="15" hidden="false" customHeight="false" outlineLevel="0" collapsed="false">
      <c r="A555" s="0" t="s">
        <v>1815</v>
      </c>
      <c r="B555" s="4" t="n">
        <v>45979</v>
      </c>
      <c r="C555" s="0" t="s">
        <v>378</v>
      </c>
      <c r="D555" s="0" t="n">
        <v>40</v>
      </c>
      <c r="E555" s="0" t="s">
        <v>1816</v>
      </c>
      <c r="F555" s="3" t="n">
        <f aca="false">D555*_xlfn.XLOOKUP(C555,Item_Master!A:A,Item_Master!G:G)</f>
        <v>72800</v>
      </c>
      <c r="G555" s="0" t="str">
        <f aca="false">TEXT(B555,"MMM YYYY")</f>
        <v>Nov 2025</v>
      </c>
    </row>
    <row r="556" customFormat="false" ht="15" hidden="false" customHeight="false" outlineLevel="0" collapsed="false">
      <c r="A556" s="0" t="s">
        <v>1817</v>
      </c>
      <c r="B556" s="4" t="n">
        <v>45979</v>
      </c>
      <c r="C556" s="0" t="s">
        <v>450</v>
      </c>
      <c r="D556" s="0" t="n">
        <v>22</v>
      </c>
      <c r="E556" s="0" t="s">
        <v>1818</v>
      </c>
      <c r="F556" s="3" t="n">
        <f aca="false">D556*_xlfn.XLOOKUP(C556,Item_Master!A:A,Item_Master!G:G)</f>
        <v>18700</v>
      </c>
      <c r="G556" s="0" t="str">
        <f aca="false">TEXT(B556,"MMM YYYY")</f>
        <v>Nov 2025</v>
      </c>
    </row>
    <row r="557" customFormat="false" ht="15" hidden="false" customHeight="false" outlineLevel="0" collapsed="false">
      <c r="A557" s="0" t="s">
        <v>1819</v>
      </c>
      <c r="B557" s="4" t="n">
        <v>45979</v>
      </c>
      <c r="C557" s="0" t="s">
        <v>498</v>
      </c>
      <c r="D557" s="0" t="n">
        <v>19</v>
      </c>
      <c r="E557" s="0" t="s">
        <v>1820</v>
      </c>
      <c r="F557" s="3" t="n">
        <f aca="false">D557*_xlfn.XLOOKUP(C557,Item_Master!A:A,Item_Master!G:G)</f>
        <v>56050</v>
      </c>
      <c r="G557" s="0" t="str">
        <f aca="false">TEXT(B557,"MMM YYYY")</f>
        <v>Nov 2025</v>
      </c>
    </row>
    <row r="558" customFormat="false" ht="15" hidden="false" customHeight="false" outlineLevel="0" collapsed="false">
      <c r="A558" s="0" t="s">
        <v>1821</v>
      </c>
      <c r="B558" s="4" t="n">
        <v>45979</v>
      </c>
      <c r="C558" s="0" t="s">
        <v>575</v>
      </c>
      <c r="D558" s="0" t="n">
        <v>8</v>
      </c>
      <c r="E558" s="0" t="s">
        <v>1822</v>
      </c>
      <c r="F558" s="3" t="n">
        <f aca="false">D558*_xlfn.XLOOKUP(C558,Item_Master!A:A,Item_Master!G:G)</f>
        <v>95120</v>
      </c>
      <c r="G558" s="0" t="str">
        <f aca="false">TEXT(B558,"MMM YYYY")</f>
        <v>Nov 2025</v>
      </c>
    </row>
    <row r="559" customFormat="false" ht="15" hidden="false" customHeight="false" outlineLevel="0" collapsed="false">
      <c r="A559" s="0" t="s">
        <v>1823</v>
      </c>
      <c r="B559" s="4" t="n">
        <v>45979</v>
      </c>
      <c r="C559" s="0" t="s">
        <v>629</v>
      </c>
      <c r="D559" s="0" t="n">
        <v>19</v>
      </c>
      <c r="E559" s="0" t="s">
        <v>1824</v>
      </c>
      <c r="F559" s="3" t="n">
        <f aca="false">D559*_xlfn.XLOOKUP(C559,Item_Master!A:A,Item_Master!G:G)</f>
        <v>229140</v>
      </c>
      <c r="G559" s="0" t="str">
        <f aca="false">TEXT(B559,"MMM YYYY")</f>
        <v>Nov 2025</v>
      </c>
    </row>
    <row r="560" customFormat="false" ht="15" hidden="false" customHeight="false" outlineLevel="0" collapsed="false">
      <c r="A560" s="0" t="s">
        <v>1825</v>
      </c>
      <c r="B560" s="4" t="n">
        <v>45979</v>
      </c>
      <c r="C560" s="0" t="s">
        <v>694</v>
      </c>
      <c r="D560" s="0" t="n">
        <v>20</v>
      </c>
      <c r="E560" s="0" t="s">
        <v>1826</v>
      </c>
      <c r="F560" s="3" t="n">
        <f aca="false">D560*_xlfn.XLOOKUP(C560,Item_Master!A:A,Item_Master!G:G)</f>
        <v>498200</v>
      </c>
      <c r="G560" s="0" t="str">
        <f aca="false">TEXT(B560,"MMM YYYY")</f>
        <v>Nov 2025</v>
      </c>
    </row>
    <row r="561" customFormat="false" ht="15" hidden="false" customHeight="false" outlineLevel="0" collapsed="false">
      <c r="A561" s="0" t="s">
        <v>1827</v>
      </c>
      <c r="B561" s="4" t="n">
        <v>45980</v>
      </c>
      <c r="C561" s="0" t="s">
        <v>496</v>
      </c>
      <c r="D561" s="0" t="n">
        <v>6</v>
      </c>
      <c r="E561" s="0" t="s">
        <v>1828</v>
      </c>
      <c r="F561" s="3" t="n">
        <f aca="false">D561*_xlfn.XLOOKUP(C561,Item_Master!A:A,Item_Master!G:G)</f>
        <v>3060</v>
      </c>
      <c r="G561" s="0" t="str">
        <f aca="false">TEXT(B561,"MMM YYYY")</f>
        <v>Nov 2025</v>
      </c>
    </row>
    <row r="562" customFormat="false" ht="15" hidden="false" customHeight="false" outlineLevel="0" collapsed="false">
      <c r="A562" s="0" t="s">
        <v>1829</v>
      </c>
      <c r="B562" s="4" t="n">
        <v>45980</v>
      </c>
      <c r="C562" s="0" t="s">
        <v>535</v>
      </c>
      <c r="D562" s="0" t="n">
        <v>22</v>
      </c>
      <c r="E562" s="0" t="s">
        <v>1830</v>
      </c>
      <c r="F562" s="3" t="n">
        <f aca="false">D562*_xlfn.XLOOKUP(C562,Item_Master!A:A,Item_Master!G:G)</f>
        <v>53240</v>
      </c>
      <c r="G562" s="0" t="str">
        <f aca="false">TEXT(B562,"MMM YYYY")</f>
        <v>Nov 2025</v>
      </c>
    </row>
    <row r="563" customFormat="false" ht="15" hidden="false" customHeight="false" outlineLevel="0" collapsed="false">
      <c r="A563" s="0" t="s">
        <v>1831</v>
      </c>
      <c r="B563" s="4" t="n">
        <v>45980</v>
      </c>
      <c r="C563" s="0" t="s">
        <v>537</v>
      </c>
      <c r="D563" s="0" t="n">
        <v>18</v>
      </c>
      <c r="E563" s="0" t="s">
        <v>1832</v>
      </c>
      <c r="F563" s="3" t="n">
        <f aca="false">D563*_xlfn.XLOOKUP(C563,Item_Master!A:A,Item_Master!G:G)</f>
        <v>265680</v>
      </c>
      <c r="G563" s="0" t="str">
        <f aca="false">TEXT(B563,"MMM YYYY")</f>
        <v>Nov 2025</v>
      </c>
    </row>
    <row r="564" customFormat="false" ht="15" hidden="false" customHeight="false" outlineLevel="0" collapsed="false">
      <c r="A564" s="0" t="s">
        <v>1833</v>
      </c>
      <c r="B564" s="4" t="n">
        <v>45980</v>
      </c>
      <c r="C564" s="0" t="s">
        <v>577</v>
      </c>
      <c r="D564" s="0" t="n">
        <v>11</v>
      </c>
      <c r="E564" s="0" t="s">
        <v>1834</v>
      </c>
      <c r="F564" s="3" t="n">
        <f aca="false">D564*_xlfn.XLOOKUP(C564,Item_Master!A:A,Item_Master!G:G)</f>
        <v>15290</v>
      </c>
      <c r="G564" s="0" t="str">
        <f aca="false">TEXT(B564,"MMM YYYY")</f>
        <v>Nov 2025</v>
      </c>
    </row>
    <row r="565" customFormat="false" ht="15" hidden="false" customHeight="false" outlineLevel="0" collapsed="false">
      <c r="A565" s="0" t="s">
        <v>1835</v>
      </c>
      <c r="B565" s="4" t="n">
        <v>45980</v>
      </c>
      <c r="C565" s="0" t="s">
        <v>601</v>
      </c>
      <c r="D565" s="0" t="n">
        <v>22</v>
      </c>
      <c r="E565" s="0" t="s">
        <v>1836</v>
      </c>
      <c r="F565" s="3" t="n">
        <f aca="false">D565*_xlfn.XLOOKUP(C565,Item_Master!A:A,Item_Master!G:G)</f>
        <v>49280</v>
      </c>
      <c r="G565" s="0" t="str">
        <f aca="false">TEXT(B565,"MMM YYYY")</f>
        <v>Nov 2025</v>
      </c>
    </row>
    <row r="566" customFormat="false" ht="15" hidden="false" customHeight="false" outlineLevel="0" collapsed="false">
      <c r="A566" s="0" t="s">
        <v>1837</v>
      </c>
      <c r="B566" s="4" t="n">
        <v>45980</v>
      </c>
      <c r="C566" s="0" t="s">
        <v>688</v>
      </c>
      <c r="D566" s="0" t="n">
        <v>21</v>
      </c>
      <c r="E566" s="0" t="s">
        <v>1838</v>
      </c>
      <c r="F566" s="3" t="n">
        <f aca="false">D566*_xlfn.XLOOKUP(C566,Item_Master!A:A,Item_Master!G:G)</f>
        <v>204540</v>
      </c>
      <c r="G566" s="0" t="str">
        <f aca="false">TEXT(B566,"MMM YYYY")</f>
        <v>Nov 2025</v>
      </c>
    </row>
    <row r="567" customFormat="false" ht="15" hidden="false" customHeight="false" outlineLevel="0" collapsed="false">
      <c r="A567" s="0" t="s">
        <v>1839</v>
      </c>
      <c r="B567" s="4" t="n">
        <v>45981</v>
      </c>
      <c r="C567" s="0" t="s">
        <v>21</v>
      </c>
      <c r="D567" s="0" t="n">
        <v>1</v>
      </c>
      <c r="E567" s="0" t="s">
        <v>1840</v>
      </c>
      <c r="F567" s="3" t="n">
        <f aca="false">D567*_xlfn.XLOOKUP(C567,Item_Master!A:A,Item_Master!G:G)</f>
        <v>1330</v>
      </c>
      <c r="G567" s="0" t="str">
        <f aca="false">TEXT(B567,"MMM YYYY")</f>
        <v>Nov 2025</v>
      </c>
    </row>
    <row r="568" customFormat="false" ht="15" hidden="false" customHeight="false" outlineLevel="0" collapsed="false">
      <c r="A568" s="0" t="s">
        <v>1841</v>
      </c>
      <c r="B568" s="4" t="n">
        <v>45981</v>
      </c>
      <c r="C568" s="0" t="s">
        <v>44</v>
      </c>
      <c r="D568" s="0" t="n">
        <v>1</v>
      </c>
      <c r="E568" s="0" t="s">
        <v>1842</v>
      </c>
      <c r="F568" s="3" t="n">
        <f aca="false">D568*_xlfn.XLOOKUP(C568,Item_Master!A:A,Item_Master!G:G)</f>
        <v>1630</v>
      </c>
      <c r="G568" s="0" t="str">
        <f aca="false">TEXT(B568,"MMM YYYY")</f>
        <v>Nov 2025</v>
      </c>
    </row>
    <row r="569" customFormat="false" ht="15" hidden="false" customHeight="false" outlineLevel="0" collapsed="false">
      <c r="A569" s="0" t="s">
        <v>1843</v>
      </c>
      <c r="B569" s="4" t="n">
        <v>45981</v>
      </c>
      <c r="C569" s="0" t="s">
        <v>322</v>
      </c>
      <c r="D569" s="0" t="n">
        <v>21</v>
      </c>
      <c r="E569" s="0" t="s">
        <v>1844</v>
      </c>
      <c r="F569" s="3" t="n">
        <f aca="false">D569*_xlfn.XLOOKUP(C569,Item_Master!A:A,Item_Master!G:G)</f>
        <v>45990</v>
      </c>
      <c r="G569" s="0" t="str">
        <f aca="false">TEXT(B569,"MMM YYYY")</f>
        <v>Nov 2025</v>
      </c>
    </row>
    <row r="570" customFormat="false" ht="15" hidden="false" customHeight="false" outlineLevel="0" collapsed="false">
      <c r="A570" s="0" t="s">
        <v>1845</v>
      </c>
      <c r="B570" s="4" t="n">
        <v>45981</v>
      </c>
      <c r="C570" s="0" t="s">
        <v>343</v>
      </c>
      <c r="D570" s="0" t="n">
        <v>4</v>
      </c>
      <c r="E570" s="0" t="s">
        <v>1846</v>
      </c>
      <c r="F570" s="3" t="n">
        <f aca="false">D570*_xlfn.XLOOKUP(C570,Item_Master!A:A,Item_Master!G:G)</f>
        <v>7000</v>
      </c>
      <c r="G570" s="0" t="str">
        <f aca="false">TEXT(B570,"MMM YYYY")</f>
        <v>Nov 2025</v>
      </c>
    </row>
    <row r="571" customFormat="false" ht="15" hidden="false" customHeight="false" outlineLevel="0" collapsed="false">
      <c r="A571" s="0" t="s">
        <v>1847</v>
      </c>
      <c r="B571" s="4" t="n">
        <v>45981</v>
      </c>
      <c r="C571" s="0" t="s">
        <v>399</v>
      </c>
      <c r="D571" s="0" t="n">
        <v>1</v>
      </c>
      <c r="E571" s="0" t="s">
        <v>1848</v>
      </c>
      <c r="F571" s="3" t="n">
        <f aca="false">D571*_xlfn.XLOOKUP(C571,Item_Master!A:A,Item_Master!G:G)</f>
        <v>12110</v>
      </c>
      <c r="G571" s="0" t="str">
        <f aca="false">TEXT(B571,"MMM YYYY")</f>
        <v>Nov 2025</v>
      </c>
    </row>
    <row r="572" customFormat="false" ht="15" hidden="false" customHeight="false" outlineLevel="0" collapsed="false">
      <c r="A572" s="0" t="s">
        <v>1849</v>
      </c>
      <c r="B572" s="4" t="n">
        <v>45981</v>
      </c>
      <c r="C572" s="0" t="s">
        <v>421</v>
      </c>
      <c r="D572" s="0" t="n">
        <v>14</v>
      </c>
      <c r="E572" s="0" t="s">
        <v>1850</v>
      </c>
      <c r="F572" s="3" t="n">
        <f aca="false">D572*_xlfn.XLOOKUP(C572,Item_Master!A:A,Item_Master!G:G)</f>
        <v>2380</v>
      </c>
      <c r="G572" s="0" t="str">
        <f aca="false">TEXT(B572,"MMM YYYY")</f>
        <v>Nov 2025</v>
      </c>
    </row>
    <row r="573" customFormat="false" ht="15" hidden="false" customHeight="false" outlineLevel="0" collapsed="false">
      <c r="A573" s="0" t="s">
        <v>1851</v>
      </c>
      <c r="B573" s="4" t="n">
        <v>45981</v>
      </c>
      <c r="C573" s="0" t="s">
        <v>430</v>
      </c>
      <c r="D573" s="0" t="n">
        <v>4</v>
      </c>
      <c r="E573" s="0" t="s">
        <v>1852</v>
      </c>
      <c r="F573" s="3" t="n">
        <f aca="false">D573*_xlfn.XLOOKUP(C573,Item_Master!A:A,Item_Master!G:G)</f>
        <v>9320</v>
      </c>
      <c r="G573" s="0" t="str">
        <f aca="false">TEXT(B573,"MMM YYYY")</f>
        <v>Nov 2025</v>
      </c>
    </row>
    <row r="574" customFormat="false" ht="15" hidden="false" customHeight="false" outlineLevel="0" collapsed="false">
      <c r="A574" s="0" t="s">
        <v>1853</v>
      </c>
      <c r="B574" s="4" t="n">
        <v>45981</v>
      </c>
      <c r="C574" s="0" t="s">
        <v>494</v>
      </c>
      <c r="D574" s="0" t="n">
        <v>21</v>
      </c>
      <c r="E574" s="0" t="s">
        <v>1854</v>
      </c>
      <c r="F574" s="3" t="n">
        <f aca="false">D574*_xlfn.XLOOKUP(C574,Item_Master!A:A,Item_Master!G:G)</f>
        <v>292740</v>
      </c>
      <c r="G574" s="0" t="str">
        <f aca="false">TEXT(B574,"MMM YYYY")</f>
        <v>Nov 2025</v>
      </c>
    </row>
    <row r="575" customFormat="false" ht="15" hidden="false" customHeight="false" outlineLevel="0" collapsed="false">
      <c r="A575" s="0" t="s">
        <v>1855</v>
      </c>
      <c r="B575" s="4" t="n">
        <v>45981</v>
      </c>
      <c r="C575" s="0" t="s">
        <v>543</v>
      </c>
      <c r="D575" s="0" t="n">
        <v>35</v>
      </c>
      <c r="E575" s="0" t="s">
        <v>1856</v>
      </c>
      <c r="F575" s="3" t="n">
        <f aca="false">D575*_xlfn.XLOOKUP(C575,Item_Master!A:A,Item_Master!G:G)</f>
        <v>89250</v>
      </c>
      <c r="G575" s="0" t="str">
        <f aca="false">TEXT(B575,"MMM YYYY")</f>
        <v>Nov 2025</v>
      </c>
    </row>
    <row r="576" customFormat="false" ht="15" hidden="false" customHeight="false" outlineLevel="0" collapsed="false">
      <c r="A576" s="0" t="s">
        <v>1857</v>
      </c>
      <c r="B576" s="4" t="n">
        <v>45982</v>
      </c>
      <c r="C576" s="0" t="s">
        <v>35</v>
      </c>
      <c r="D576" s="0" t="n">
        <v>17</v>
      </c>
      <c r="E576" s="0" t="s">
        <v>1858</v>
      </c>
      <c r="F576" s="3" t="n">
        <f aca="false">D576*_xlfn.XLOOKUP(C576,Item_Master!A:A,Item_Master!G:G)</f>
        <v>32640</v>
      </c>
      <c r="G576" s="0" t="str">
        <f aca="false">TEXT(B576,"MMM YYYY")</f>
        <v>Nov 2025</v>
      </c>
    </row>
    <row r="577" customFormat="false" ht="15" hidden="false" customHeight="false" outlineLevel="0" collapsed="false">
      <c r="A577" s="0" t="s">
        <v>1859</v>
      </c>
      <c r="B577" s="4" t="n">
        <v>45982</v>
      </c>
      <c r="C577" s="0" t="s">
        <v>64</v>
      </c>
      <c r="D577" s="0" t="n">
        <v>11</v>
      </c>
      <c r="E577" s="0" t="s">
        <v>1860</v>
      </c>
      <c r="F577" s="3" t="n">
        <f aca="false">D577*_xlfn.XLOOKUP(C577,Item_Master!A:A,Item_Master!G:G)</f>
        <v>16940</v>
      </c>
      <c r="G577" s="0" t="str">
        <f aca="false">TEXT(B577,"MMM YYYY")</f>
        <v>Nov 2025</v>
      </c>
    </row>
    <row r="578" customFormat="false" ht="15" hidden="false" customHeight="false" outlineLevel="0" collapsed="false">
      <c r="A578" s="0" t="s">
        <v>1861</v>
      </c>
      <c r="B578" s="4" t="n">
        <v>45982</v>
      </c>
      <c r="C578" s="0" t="s">
        <v>90</v>
      </c>
      <c r="D578" s="0" t="n">
        <v>24</v>
      </c>
      <c r="E578" s="0" t="s">
        <v>1862</v>
      </c>
      <c r="F578" s="3" t="n">
        <f aca="false">D578*_xlfn.XLOOKUP(C578,Item_Master!A:A,Item_Master!G:G)</f>
        <v>2880</v>
      </c>
      <c r="G578" s="0" t="str">
        <f aca="false">TEXT(B578,"MMM YYYY")</f>
        <v>Nov 2025</v>
      </c>
    </row>
    <row r="579" customFormat="false" ht="15" hidden="false" customHeight="false" outlineLevel="0" collapsed="false">
      <c r="A579" s="0" t="s">
        <v>1863</v>
      </c>
      <c r="B579" s="4" t="n">
        <v>45982</v>
      </c>
      <c r="C579" s="0" t="s">
        <v>355</v>
      </c>
      <c r="D579" s="0" t="n">
        <v>24</v>
      </c>
      <c r="E579" s="0" t="s">
        <v>1864</v>
      </c>
      <c r="F579" s="3" t="n">
        <f aca="false">D579*_xlfn.XLOOKUP(C579,Item_Master!A:A,Item_Master!G:G)</f>
        <v>23760</v>
      </c>
      <c r="G579" s="0" t="str">
        <f aca="false">TEXT(B579,"MMM YYYY")</f>
        <v>Nov 2025</v>
      </c>
    </row>
    <row r="580" customFormat="false" ht="15" hidden="false" customHeight="false" outlineLevel="0" collapsed="false">
      <c r="A580" s="0" t="s">
        <v>1865</v>
      </c>
      <c r="B580" s="4" t="n">
        <v>45982</v>
      </c>
      <c r="C580" s="0" t="s">
        <v>401</v>
      </c>
      <c r="D580" s="0" t="n">
        <v>31</v>
      </c>
      <c r="E580" s="0" t="s">
        <v>1866</v>
      </c>
      <c r="F580" s="3" t="n">
        <f aca="false">D580*_xlfn.XLOOKUP(C580,Item_Master!A:A,Item_Master!G:G)</f>
        <v>623410</v>
      </c>
      <c r="G580" s="0" t="str">
        <f aca="false">TEXT(B580,"MMM YYYY")</f>
        <v>Nov 2025</v>
      </c>
    </row>
    <row r="581" customFormat="false" ht="15" hidden="false" customHeight="false" outlineLevel="0" collapsed="false">
      <c r="A581" s="0" t="s">
        <v>1867</v>
      </c>
      <c r="B581" s="4" t="n">
        <v>45982</v>
      </c>
      <c r="C581" s="0" t="s">
        <v>446</v>
      </c>
      <c r="D581" s="0" t="n">
        <v>24</v>
      </c>
      <c r="E581" s="0" t="s">
        <v>1868</v>
      </c>
      <c r="F581" s="3" t="n">
        <f aca="false">D581*_xlfn.XLOOKUP(C581,Item_Master!A:A,Item_Master!G:G)</f>
        <v>42000</v>
      </c>
      <c r="G581" s="0" t="str">
        <f aca="false">TEXT(B581,"MMM YYYY")</f>
        <v>Nov 2025</v>
      </c>
    </row>
    <row r="582" customFormat="false" ht="15" hidden="false" customHeight="false" outlineLevel="0" collapsed="false">
      <c r="A582" s="0" t="s">
        <v>1869</v>
      </c>
      <c r="B582" s="4" t="n">
        <v>45982</v>
      </c>
      <c r="C582" s="0" t="s">
        <v>448</v>
      </c>
      <c r="D582" s="0" t="n">
        <v>6</v>
      </c>
      <c r="E582" s="0" t="s">
        <v>1870</v>
      </c>
      <c r="F582" s="3" t="n">
        <f aca="false">D582*_xlfn.XLOOKUP(C582,Item_Master!A:A,Item_Master!G:G)</f>
        <v>2040</v>
      </c>
      <c r="G582" s="0" t="str">
        <f aca="false">TEXT(B582,"MMM YYYY")</f>
        <v>Nov 2025</v>
      </c>
    </row>
    <row r="583" customFormat="false" ht="15" hidden="false" customHeight="false" outlineLevel="0" collapsed="false">
      <c r="A583" s="0" t="s">
        <v>1871</v>
      </c>
      <c r="B583" s="4" t="n">
        <v>45982</v>
      </c>
      <c r="C583" s="0" t="s">
        <v>457</v>
      </c>
      <c r="D583" s="0" t="n">
        <v>16</v>
      </c>
      <c r="E583" s="0" t="s">
        <v>1872</v>
      </c>
      <c r="F583" s="3" t="n">
        <f aca="false">D583*_xlfn.XLOOKUP(C583,Item_Master!A:A,Item_Master!G:G)</f>
        <v>9760</v>
      </c>
      <c r="G583" s="0" t="str">
        <f aca="false">TEXT(B583,"MMM YYYY")</f>
        <v>Nov 2025</v>
      </c>
    </row>
    <row r="584" customFormat="false" ht="15" hidden="false" customHeight="false" outlineLevel="0" collapsed="false">
      <c r="A584" s="0" t="s">
        <v>1873</v>
      </c>
      <c r="B584" s="4" t="n">
        <v>45982</v>
      </c>
      <c r="C584" s="0" t="s">
        <v>525</v>
      </c>
      <c r="D584" s="0" t="n">
        <v>12</v>
      </c>
      <c r="E584" s="0" t="s">
        <v>1874</v>
      </c>
      <c r="F584" s="3" t="n">
        <f aca="false">D584*_xlfn.XLOOKUP(C584,Item_Master!A:A,Item_Master!G:G)</f>
        <v>91920</v>
      </c>
      <c r="G584" s="0" t="str">
        <f aca="false">TEXT(B584,"MMM YYYY")</f>
        <v>Nov 2025</v>
      </c>
    </row>
    <row r="585" customFormat="false" ht="15" hidden="false" customHeight="false" outlineLevel="0" collapsed="false">
      <c r="A585" s="0" t="s">
        <v>1875</v>
      </c>
      <c r="B585" s="4" t="n">
        <v>45982</v>
      </c>
      <c r="C585" s="0" t="s">
        <v>604</v>
      </c>
      <c r="D585" s="0" t="n">
        <v>34</v>
      </c>
      <c r="E585" s="0" t="s">
        <v>1876</v>
      </c>
      <c r="F585" s="3" t="n">
        <f aca="false">D585*_xlfn.XLOOKUP(C585,Item_Master!A:A,Item_Master!G:G)</f>
        <v>51000</v>
      </c>
      <c r="G585" s="0" t="str">
        <f aca="false">TEXT(B585,"MMM YYYY")</f>
        <v>Nov 2025</v>
      </c>
    </row>
    <row r="586" customFormat="false" ht="15" hidden="false" customHeight="false" outlineLevel="0" collapsed="false">
      <c r="A586" s="0" t="s">
        <v>1877</v>
      </c>
      <c r="B586" s="4" t="n">
        <v>45982</v>
      </c>
      <c r="C586" s="0" t="s">
        <v>707</v>
      </c>
      <c r="D586" s="0" t="n">
        <v>1</v>
      </c>
      <c r="E586" s="0" t="s">
        <v>1878</v>
      </c>
      <c r="F586" s="3" t="n">
        <f aca="false">D586*_xlfn.XLOOKUP(C586,Item_Master!A:A,Item_Master!G:G)</f>
        <v>12720</v>
      </c>
      <c r="G586" s="0" t="str">
        <f aca="false">TEXT(B586,"MMM YYYY")</f>
        <v>Nov 2025</v>
      </c>
    </row>
    <row r="587" customFormat="false" ht="15" hidden="false" customHeight="false" outlineLevel="0" collapsed="false">
      <c r="A587" s="0" t="s">
        <v>1879</v>
      </c>
      <c r="B587" s="4" t="n">
        <v>45983</v>
      </c>
      <c r="C587" s="0" t="s">
        <v>304</v>
      </c>
      <c r="D587" s="0" t="n">
        <v>1</v>
      </c>
      <c r="E587" s="0" t="s">
        <v>1880</v>
      </c>
      <c r="F587" s="3" t="n">
        <f aca="false">D587*_xlfn.XLOOKUP(C587,Item_Master!A:A,Item_Master!G:G)</f>
        <v>100</v>
      </c>
      <c r="G587" s="0" t="str">
        <f aca="false">TEXT(B587,"MMM YYYY")</f>
        <v>Nov 2025</v>
      </c>
    </row>
    <row r="588" customFormat="false" ht="15" hidden="false" customHeight="false" outlineLevel="0" collapsed="false">
      <c r="A588" s="0" t="s">
        <v>1881</v>
      </c>
      <c r="B588" s="4" t="n">
        <v>45983</v>
      </c>
      <c r="C588" s="0" t="s">
        <v>361</v>
      </c>
      <c r="D588" s="0" t="n">
        <v>2</v>
      </c>
      <c r="E588" s="0" t="s">
        <v>1882</v>
      </c>
      <c r="F588" s="3" t="n">
        <f aca="false">D588*_xlfn.XLOOKUP(C588,Item_Master!A:A,Item_Master!G:G)</f>
        <v>5000</v>
      </c>
      <c r="G588" s="0" t="str">
        <f aca="false">TEXT(B588,"MMM YYYY")</f>
        <v>Nov 2025</v>
      </c>
    </row>
    <row r="589" customFormat="false" ht="15" hidden="false" customHeight="false" outlineLevel="0" collapsed="false">
      <c r="A589" s="0" t="s">
        <v>1883</v>
      </c>
      <c r="B589" s="4" t="n">
        <v>45983</v>
      </c>
      <c r="C589" s="0" t="s">
        <v>416</v>
      </c>
      <c r="D589" s="0" t="n">
        <v>32</v>
      </c>
      <c r="E589" s="0" t="s">
        <v>1884</v>
      </c>
      <c r="F589" s="3" t="n">
        <f aca="false">D589*_xlfn.XLOOKUP(C589,Item_Master!A:A,Item_Master!G:G)</f>
        <v>49600</v>
      </c>
      <c r="G589" s="0" t="str">
        <f aca="false">TEXT(B589,"MMM YYYY")</f>
        <v>Nov 2025</v>
      </c>
    </row>
    <row r="590" customFormat="false" ht="15" hidden="false" customHeight="false" outlineLevel="0" collapsed="false">
      <c r="A590" s="0" t="s">
        <v>1885</v>
      </c>
      <c r="B590" s="4" t="n">
        <v>45983</v>
      </c>
      <c r="C590" s="0" t="s">
        <v>525</v>
      </c>
      <c r="D590" s="0" t="n">
        <v>21</v>
      </c>
      <c r="E590" s="0" t="s">
        <v>1886</v>
      </c>
      <c r="F590" s="3" t="n">
        <f aca="false">D590*_xlfn.XLOOKUP(C590,Item_Master!A:A,Item_Master!G:G)</f>
        <v>160860</v>
      </c>
      <c r="G590" s="0" t="str">
        <f aca="false">TEXT(B590,"MMM YYYY")</f>
        <v>Nov 2025</v>
      </c>
    </row>
    <row r="591" customFormat="false" ht="15" hidden="false" customHeight="false" outlineLevel="0" collapsed="false">
      <c r="A591" s="0" t="s">
        <v>1887</v>
      </c>
      <c r="B591" s="4" t="n">
        <v>45983</v>
      </c>
      <c r="C591" s="0" t="s">
        <v>577</v>
      </c>
      <c r="D591" s="0" t="n">
        <v>30</v>
      </c>
      <c r="E591" s="0" t="s">
        <v>1888</v>
      </c>
      <c r="F591" s="3" t="n">
        <f aca="false">D591*_xlfn.XLOOKUP(C591,Item_Master!A:A,Item_Master!G:G)</f>
        <v>41700</v>
      </c>
      <c r="G591" s="0" t="str">
        <f aca="false">TEXT(B591,"MMM YYYY")</f>
        <v>Nov 2025</v>
      </c>
    </row>
    <row r="592" customFormat="false" ht="15" hidden="false" customHeight="false" outlineLevel="0" collapsed="false">
      <c r="A592" s="0" t="s">
        <v>1889</v>
      </c>
      <c r="B592" s="4" t="n">
        <v>45983</v>
      </c>
      <c r="C592" s="0" t="s">
        <v>610</v>
      </c>
      <c r="D592" s="0" t="n">
        <v>27</v>
      </c>
      <c r="E592" s="0" t="s">
        <v>1890</v>
      </c>
      <c r="F592" s="3" t="n">
        <f aca="false">D592*_xlfn.XLOOKUP(C592,Item_Master!A:A,Item_Master!G:G)</f>
        <v>61560</v>
      </c>
      <c r="G592" s="0" t="str">
        <f aca="false">TEXT(B592,"MMM YYYY")</f>
        <v>Nov 2025</v>
      </c>
    </row>
    <row r="593" customFormat="false" ht="15" hidden="false" customHeight="false" outlineLevel="0" collapsed="false">
      <c r="A593" s="0" t="s">
        <v>1891</v>
      </c>
      <c r="B593" s="4" t="n">
        <v>45983</v>
      </c>
      <c r="C593" s="0" t="s">
        <v>700</v>
      </c>
      <c r="D593" s="0" t="n">
        <v>5</v>
      </c>
      <c r="E593" s="0" t="s">
        <v>1892</v>
      </c>
      <c r="F593" s="3" t="n">
        <f aca="false">D593*_xlfn.XLOOKUP(C593,Item_Master!A:A,Item_Master!G:G)</f>
        <v>96150</v>
      </c>
      <c r="G593" s="0" t="str">
        <f aca="false">TEXT(B593,"MMM YYYY")</f>
        <v>Nov 2025</v>
      </c>
    </row>
    <row r="594" customFormat="false" ht="15" hidden="false" customHeight="false" outlineLevel="0" collapsed="false">
      <c r="A594" s="0" t="s">
        <v>1893</v>
      </c>
      <c r="B594" s="4" t="n">
        <v>45983</v>
      </c>
      <c r="C594" s="0" t="s">
        <v>704</v>
      </c>
      <c r="D594" s="0" t="n">
        <v>9</v>
      </c>
      <c r="E594" s="0" t="s">
        <v>1894</v>
      </c>
      <c r="F594" s="3" t="n">
        <f aca="false">D594*_xlfn.XLOOKUP(C594,Item_Master!A:A,Item_Master!G:G)</f>
        <v>4140</v>
      </c>
      <c r="G594" s="0" t="str">
        <f aca="false">TEXT(B594,"MMM YYYY")</f>
        <v>Nov 2025</v>
      </c>
    </row>
    <row r="595" customFormat="false" ht="15" hidden="false" customHeight="false" outlineLevel="0" collapsed="false">
      <c r="A595" s="0" t="s">
        <v>1895</v>
      </c>
      <c r="B595" s="4" t="n">
        <v>45984</v>
      </c>
      <c r="C595" s="0" t="s">
        <v>75</v>
      </c>
      <c r="D595" s="0" t="n">
        <v>5</v>
      </c>
      <c r="E595" s="0" t="s">
        <v>1896</v>
      </c>
      <c r="F595" s="3" t="n">
        <f aca="false">D595*_xlfn.XLOOKUP(C595,Item_Master!A:A,Item_Master!G:G)</f>
        <v>11700</v>
      </c>
      <c r="G595" s="0" t="str">
        <f aca="false">TEXT(B595,"MMM YYYY")</f>
        <v>Nov 2025</v>
      </c>
    </row>
    <row r="596" customFormat="false" ht="15" hidden="false" customHeight="false" outlineLevel="0" collapsed="false">
      <c r="A596" s="0" t="s">
        <v>1897</v>
      </c>
      <c r="B596" s="4" t="n">
        <v>45984</v>
      </c>
      <c r="C596" s="0" t="s">
        <v>146</v>
      </c>
      <c r="D596" s="0" t="n">
        <v>1</v>
      </c>
      <c r="E596" s="0" t="s">
        <v>1898</v>
      </c>
      <c r="F596" s="3" t="n">
        <f aca="false">D596*_xlfn.XLOOKUP(C596,Item_Master!A:A,Item_Master!G:G)</f>
        <v>2760</v>
      </c>
      <c r="G596" s="0" t="str">
        <f aca="false">TEXT(B596,"MMM YYYY")</f>
        <v>Nov 2025</v>
      </c>
    </row>
    <row r="597" customFormat="false" ht="15" hidden="false" customHeight="false" outlineLevel="0" collapsed="false">
      <c r="A597" s="0" t="s">
        <v>1899</v>
      </c>
      <c r="B597" s="4" t="n">
        <v>45984</v>
      </c>
      <c r="C597" s="0" t="s">
        <v>209</v>
      </c>
      <c r="D597" s="0" t="n">
        <v>22</v>
      </c>
      <c r="E597" s="0" t="s">
        <v>1900</v>
      </c>
      <c r="F597" s="3" t="n">
        <f aca="false">D597*_xlfn.XLOOKUP(C597,Item_Master!A:A,Item_Master!G:G)</f>
        <v>23980</v>
      </c>
      <c r="G597" s="0" t="str">
        <f aca="false">TEXT(B597,"MMM YYYY")</f>
        <v>Nov 2025</v>
      </c>
    </row>
    <row r="598" customFormat="false" ht="15" hidden="false" customHeight="false" outlineLevel="0" collapsed="false">
      <c r="A598" s="0" t="s">
        <v>1901</v>
      </c>
      <c r="B598" s="4" t="n">
        <v>45984</v>
      </c>
      <c r="C598" s="0" t="s">
        <v>219</v>
      </c>
      <c r="D598" s="0" t="n">
        <v>38</v>
      </c>
      <c r="E598" s="0" t="s">
        <v>1902</v>
      </c>
      <c r="F598" s="3" t="n">
        <f aca="false">D598*_xlfn.XLOOKUP(C598,Item_Master!A:A,Item_Master!G:G)</f>
        <v>46360</v>
      </c>
      <c r="G598" s="0" t="str">
        <f aca="false">TEXT(B598,"MMM YYYY")</f>
        <v>Nov 2025</v>
      </c>
    </row>
    <row r="599" customFormat="false" ht="15" hidden="false" customHeight="false" outlineLevel="0" collapsed="false">
      <c r="A599" s="0" t="s">
        <v>1903</v>
      </c>
      <c r="B599" s="4" t="n">
        <v>45984</v>
      </c>
      <c r="C599" s="0" t="s">
        <v>300</v>
      </c>
      <c r="D599" s="0" t="n">
        <v>2</v>
      </c>
      <c r="E599" s="0" t="s">
        <v>1904</v>
      </c>
      <c r="F599" s="3" t="n">
        <f aca="false">D599*_xlfn.XLOOKUP(C599,Item_Master!A:A,Item_Master!G:G)</f>
        <v>5100</v>
      </c>
      <c r="G599" s="0" t="str">
        <f aca="false">TEXT(B599,"MMM YYYY")</f>
        <v>Nov 2025</v>
      </c>
    </row>
    <row r="600" customFormat="false" ht="15" hidden="false" customHeight="false" outlineLevel="0" collapsed="false">
      <c r="A600" s="0" t="s">
        <v>1905</v>
      </c>
      <c r="B600" s="4" t="n">
        <v>45984</v>
      </c>
      <c r="C600" s="0" t="s">
        <v>341</v>
      </c>
      <c r="D600" s="0" t="n">
        <v>28</v>
      </c>
      <c r="E600" s="0" t="s">
        <v>1906</v>
      </c>
      <c r="F600" s="3" t="n">
        <f aca="false">D600*_xlfn.XLOOKUP(C600,Item_Master!A:A,Item_Master!G:G)</f>
        <v>19600</v>
      </c>
      <c r="G600" s="0" t="str">
        <f aca="false">TEXT(B600,"MMM YYYY")</f>
        <v>Nov 2025</v>
      </c>
    </row>
    <row r="601" customFormat="false" ht="15" hidden="false" customHeight="false" outlineLevel="0" collapsed="false">
      <c r="A601" s="0" t="s">
        <v>1907</v>
      </c>
      <c r="B601" s="4" t="n">
        <v>45984</v>
      </c>
      <c r="C601" s="0" t="s">
        <v>456</v>
      </c>
      <c r="D601" s="0" t="n">
        <v>30</v>
      </c>
      <c r="E601" s="0" t="s">
        <v>1908</v>
      </c>
      <c r="F601" s="3" t="n">
        <f aca="false">D601*_xlfn.XLOOKUP(C601,Item_Master!A:A,Item_Master!G:G)</f>
        <v>19500</v>
      </c>
      <c r="G601" s="0" t="str">
        <f aca="false">TEXT(B601,"MMM YYYY")</f>
        <v>Nov 2025</v>
      </c>
    </row>
    <row r="602" customFormat="false" ht="15" hidden="false" customHeight="false" outlineLevel="0" collapsed="false">
      <c r="A602" s="0" t="s">
        <v>1909</v>
      </c>
      <c r="B602" s="4" t="n">
        <v>45984</v>
      </c>
      <c r="C602" s="0" t="s">
        <v>516</v>
      </c>
      <c r="D602" s="0" t="n">
        <v>37</v>
      </c>
      <c r="E602" s="0" t="s">
        <v>1910</v>
      </c>
      <c r="F602" s="3" t="n">
        <f aca="false">D602*_xlfn.XLOOKUP(C602,Item_Master!A:A,Item_Master!G:G)</f>
        <v>226440</v>
      </c>
      <c r="G602" s="0" t="str">
        <f aca="false">TEXT(B602,"MMM YYYY")</f>
        <v>Nov 2025</v>
      </c>
    </row>
    <row r="603" customFormat="false" ht="15" hidden="false" customHeight="false" outlineLevel="0" collapsed="false">
      <c r="A603" s="0" t="s">
        <v>1911</v>
      </c>
      <c r="B603" s="4" t="n">
        <v>45984</v>
      </c>
      <c r="C603" s="0" t="s">
        <v>537</v>
      </c>
      <c r="D603" s="0" t="n">
        <v>14</v>
      </c>
      <c r="E603" s="0" t="s">
        <v>753</v>
      </c>
      <c r="F603" s="3" t="n">
        <f aca="false">D603*_xlfn.XLOOKUP(C603,Item_Master!A:A,Item_Master!G:G)</f>
        <v>206640</v>
      </c>
      <c r="G603" s="0" t="str">
        <f aca="false">TEXT(B603,"MMM YYYY")</f>
        <v>Nov 2025</v>
      </c>
    </row>
    <row r="604" customFormat="false" ht="15" hidden="false" customHeight="false" outlineLevel="0" collapsed="false">
      <c r="A604" s="0" t="s">
        <v>1912</v>
      </c>
      <c r="B604" s="4" t="n">
        <v>45984</v>
      </c>
      <c r="C604" s="0" t="s">
        <v>584</v>
      </c>
      <c r="D604" s="0" t="n">
        <v>1</v>
      </c>
      <c r="E604" s="0" t="s">
        <v>1913</v>
      </c>
      <c r="F604" s="3" t="n">
        <f aca="false">D604*_xlfn.XLOOKUP(C604,Item_Master!A:A,Item_Master!G:G)</f>
        <v>8280</v>
      </c>
      <c r="G604" s="0" t="str">
        <f aca="false">TEXT(B604,"MMM YYYY")</f>
        <v>Nov 2025</v>
      </c>
    </row>
    <row r="605" customFormat="false" ht="15" hidden="false" customHeight="false" outlineLevel="0" collapsed="false">
      <c r="A605" s="0" t="s">
        <v>1914</v>
      </c>
      <c r="B605" s="4" t="n">
        <v>45984</v>
      </c>
      <c r="C605" s="0" t="s">
        <v>648</v>
      </c>
      <c r="D605" s="0" t="n">
        <v>3</v>
      </c>
      <c r="E605" s="0" t="s">
        <v>1915</v>
      </c>
      <c r="F605" s="3" t="n">
        <f aca="false">D605*_xlfn.XLOOKUP(C605,Item_Master!A:A,Item_Master!G:G)</f>
        <v>69750</v>
      </c>
      <c r="G605" s="0" t="str">
        <f aca="false">TEXT(B605,"MMM YYYY")</f>
        <v>Nov 2025</v>
      </c>
    </row>
    <row r="606" customFormat="false" ht="15" hidden="false" customHeight="false" outlineLevel="0" collapsed="false">
      <c r="A606" s="0" t="s">
        <v>1916</v>
      </c>
      <c r="B606" s="4" t="n">
        <v>45984</v>
      </c>
      <c r="C606" s="0" t="s">
        <v>702</v>
      </c>
      <c r="D606" s="0" t="n">
        <v>5</v>
      </c>
      <c r="E606" s="0" t="s">
        <v>1917</v>
      </c>
      <c r="F606" s="3" t="n">
        <f aca="false">D606*_xlfn.XLOOKUP(C606,Item_Master!A:A,Item_Master!G:G)</f>
        <v>11550</v>
      </c>
      <c r="G606" s="0" t="str">
        <f aca="false">TEXT(B606,"MMM YYYY")</f>
        <v>Nov 2025</v>
      </c>
    </row>
    <row r="607" customFormat="false" ht="15" hidden="false" customHeight="false" outlineLevel="0" collapsed="false">
      <c r="A607" s="0" t="s">
        <v>1918</v>
      </c>
      <c r="B607" s="4" t="n">
        <v>45985</v>
      </c>
      <c r="C607" s="0" t="s">
        <v>247</v>
      </c>
      <c r="D607" s="0" t="n">
        <v>2</v>
      </c>
      <c r="E607" s="0" t="s">
        <v>1055</v>
      </c>
      <c r="F607" s="3" t="n">
        <f aca="false">D607*_xlfn.XLOOKUP(C607,Item_Master!A:A,Item_Master!G:G)</f>
        <v>2000</v>
      </c>
      <c r="G607" s="0" t="str">
        <f aca="false">TEXT(B607,"MMM YYYY")</f>
        <v>Nov 2025</v>
      </c>
    </row>
    <row r="608" customFormat="false" ht="15" hidden="false" customHeight="false" outlineLevel="0" collapsed="false">
      <c r="A608" s="0" t="s">
        <v>1919</v>
      </c>
      <c r="B608" s="4" t="n">
        <v>45985</v>
      </c>
      <c r="C608" s="0" t="s">
        <v>306</v>
      </c>
      <c r="D608" s="0" t="n">
        <v>19</v>
      </c>
      <c r="E608" s="0" t="s">
        <v>1920</v>
      </c>
      <c r="F608" s="3" t="n">
        <f aca="false">D608*_xlfn.XLOOKUP(C608,Item_Master!A:A,Item_Master!G:G)</f>
        <v>19380</v>
      </c>
      <c r="G608" s="0" t="str">
        <f aca="false">TEXT(B608,"MMM YYYY")</f>
        <v>Nov 2025</v>
      </c>
    </row>
    <row r="609" customFormat="false" ht="15" hidden="false" customHeight="false" outlineLevel="0" collapsed="false">
      <c r="A609" s="0" t="s">
        <v>1921</v>
      </c>
      <c r="B609" s="4" t="n">
        <v>45985</v>
      </c>
      <c r="C609" s="0" t="s">
        <v>353</v>
      </c>
      <c r="D609" s="0" t="n">
        <v>2</v>
      </c>
      <c r="E609" s="0" t="s">
        <v>1922</v>
      </c>
      <c r="F609" s="3" t="n">
        <f aca="false">D609*_xlfn.XLOOKUP(C609,Item_Master!A:A,Item_Master!G:G)</f>
        <v>840</v>
      </c>
      <c r="G609" s="0" t="str">
        <f aca="false">TEXT(B609,"MMM YYYY")</f>
        <v>Nov 2025</v>
      </c>
    </row>
    <row r="610" customFormat="false" ht="15" hidden="false" customHeight="false" outlineLevel="0" collapsed="false">
      <c r="A610" s="0" t="s">
        <v>1923</v>
      </c>
      <c r="B610" s="4" t="n">
        <v>45985</v>
      </c>
      <c r="C610" s="0" t="s">
        <v>382</v>
      </c>
      <c r="D610" s="0" t="n">
        <v>1</v>
      </c>
      <c r="E610" s="0" t="s">
        <v>1924</v>
      </c>
      <c r="F610" s="3" t="n">
        <f aca="false">D610*_xlfn.XLOOKUP(C610,Item_Master!A:A,Item_Master!G:G)</f>
        <v>2060</v>
      </c>
      <c r="G610" s="0" t="str">
        <f aca="false">TEXT(B610,"MMM YYYY")</f>
        <v>Nov 2025</v>
      </c>
    </row>
    <row r="611" customFormat="false" ht="15" hidden="false" customHeight="false" outlineLevel="0" collapsed="false">
      <c r="A611" s="0" t="s">
        <v>1925</v>
      </c>
      <c r="B611" s="4" t="n">
        <v>45985</v>
      </c>
      <c r="C611" s="0" t="s">
        <v>438</v>
      </c>
      <c r="D611" s="0" t="n">
        <v>27</v>
      </c>
      <c r="E611" s="0" t="s">
        <v>1926</v>
      </c>
      <c r="F611" s="3" t="n">
        <f aca="false">D611*_xlfn.XLOOKUP(C611,Item_Master!A:A,Item_Master!G:G)</f>
        <v>5400</v>
      </c>
      <c r="G611" s="0" t="str">
        <f aca="false">TEXT(B611,"MMM YYYY")</f>
        <v>Nov 2025</v>
      </c>
    </row>
    <row r="612" customFormat="false" ht="15" hidden="false" customHeight="false" outlineLevel="0" collapsed="false">
      <c r="A612" s="0" t="s">
        <v>1927</v>
      </c>
      <c r="B612" s="4" t="n">
        <v>45985</v>
      </c>
      <c r="C612" s="0" t="s">
        <v>453</v>
      </c>
      <c r="D612" s="0" t="n">
        <v>26</v>
      </c>
      <c r="E612" s="0" t="s">
        <v>1928</v>
      </c>
      <c r="F612" s="3" t="n">
        <f aca="false">D612*_xlfn.XLOOKUP(C612,Item_Master!A:A,Item_Master!G:G)</f>
        <v>56940</v>
      </c>
      <c r="G612" s="0" t="str">
        <f aca="false">TEXT(B612,"MMM YYYY")</f>
        <v>Nov 2025</v>
      </c>
    </row>
    <row r="613" customFormat="false" ht="15" hidden="false" customHeight="false" outlineLevel="0" collapsed="false">
      <c r="A613" s="0" t="s">
        <v>1929</v>
      </c>
      <c r="B613" s="4" t="n">
        <v>45985</v>
      </c>
      <c r="C613" s="0" t="s">
        <v>456</v>
      </c>
      <c r="D613" s="0" t="n">
        <v>40</v>
      </c>
      <c r="E613" s="0" t="s">
        <v>1930</v>
      </c>
      <c r="F613" s="3" t="n">
        <f aca="false">D613*_xlfn.XLOOKUP(C613,Item_Master!A:A,Item_Master!G:G)</f>
        <v>26000</v>
      </c>
      <c r="G613" s="0" t="str">
        <f aca="false">TEXT(B613,"MMM YYYY")</f>
        <v>Nov 2025</v>
      </c>
    </row>
    <row r="614" customFormat="false" ht="15" hidden="false" customHeight="false" outlineLevel="0" collapsed="false">
      <c r="A614" s="0" t="s">
        <v>1931</v>
      </c>
      <c r="B614" s="4" t="n">
        <v>45985</v>
      </c>
      <c r="C614" s="0" t="s">
        <v>462</v>
      </c>
      <c r="D614" s="0" t="n">
        <v>34</v>
      </c>
      <c r="E614" s="0" t="s">
        <v>1932</v>
      </c>
      <c r="F614" s="3" t="n">
        <f aca="false">D614*_xlfn.XLOOKUP(C614,Item_Master!A:A,Item_Master!G:G)</f>
        <v>377400</v>
      </c>
      <c r="G614" s="0" t="str">
        <f aca="false">TEXT(B614,"MMM YYYY")</f>
        <v>Nov 2025</v>
      </c>
    </row>
    <row r="615" customFormat="false" ht="15" hidden="false" customHeight="false" outlineLevel="0" collapsed="false">
      <c r="A615" s="0" t="s">
        <v>1933</v>
      </c>
      <c r="B615" s="4" t="n">
        <v>45985</v>
      </c>
      <c r="C615" s="0" t="s">
        <v>489</v>
      </c>
      <c r="D615" s="0" t="n">
        <v>6</v>
      </c>
      <c r="E615" s="0" t="s">
        <v>1934</v>
      </c>
      <c r="F615" s="3" t="n">
        <f aca="false">D615*_xlfn.XLOOKUP(C615,Item_Master!A:A,Item_Master!G:G)</f>
        <v>48480</v>
      </c>
      <c r="G615" s="0" t="str">
        <f aca="false">TEXT(B615,"MMM YYYY")</f>
        <v>Nov 2025</v>
      </c>
    </row>
    <row r="616" customFormat="false" ht="15" hidden="false" customHeight="false" outlineLevel="0" collapsed="false">
      <c r="A616" s="0" t="s">
        <v>1935</v>
      </c>
      <c r="B616" s="4" t="n">
        <v>45985</v>
      </c>
      <c r="C616" s="0" t="s">
        <v>492</v>
      </c>
      <c r="D616" s="0" t="n">
        <v>11</v>
      </c>
      <c r="E616" s="0" t="s">
        <v>1936</v>
      </c>
      <c r="F616" s="3" t="n">
        <f aca="false">D616*_xlfn.XLOOKUP(C616,Item_Master!A:A,Item_Master!G:G)</f>
        <v>3850</v>
      </c>
      <c r="G616" s="0" t="str">
        <f aca="false">TEXT(B616,"MMM YYYY")</f>
        <v>Nov 2025</v>
      </c>
    </row>
    <row r="617" customFormat="false" ht="15" hidden="false" customHeight="false" outlineLevel="0" collapsed="false">
      <c r="A617" s="0" t="s">
        <v>1937</v>
      </c>
      <c r="B617" s="4" t="n">
        <v>45985</v>
      </c>
      <c r="C617" s="0" t="s">
        <v>527</v>
      </c>
      <c r="D617" s="0" t="n">
        <v>5</v>
      </c>
      <c r="E617" s="0" t="s">
        <v>1938</v>
      </c>
      <c r="F617" s="3" t="n">
        <f aca="false">D617*_xlfn.XLOOKUP(C617,Item_Master!A:A,Item_Master!G:G)</f>
        <v>8600</v>
      </c>
      <c r="G617" s="0" t="str">
        <f aca="false">TEXT(B617,"MMM YYYY")</f>
        <v>Nov 2025</v>
      </c>
    </row>
    <row r="618" customFormat="false" ht="15" hidden="false" customHeight="false" outlineLevel="0" collapsed="false">
      <c r="A618" s="0" t="s">
        <v>1939</v>
      </c>
      <c r="B618" s="4" t="n">
        <v>45985</v>
      </c>
      <c r="C618" s="0" t="s">
        <v>530</v>
      </c>
      <c r="D618" s="0" t="n">
        <v>9</v>
      </c>
      <c r="E618" s="0" t="s">
        <v>1940</v>
      </c>
      <c r="F618" s="3" t="n">
        <f aca="false">D618*_xlfn.XLOOKUP(C618,Item_Master!A:A,Item_Master!G:G)</f>
        <v>105210</v>
      </c>
      <c r="G618" s="0" t="str">
        <f aca="false">TEXT(B618,"MMM YYYY")</f>
        <v>Nov 2025</v>
      </c>
    </row>
    <row r="619" customFormat="false" ht="15" hidden="false" customHeight="false" outlineLevel="0" collapsed="false">
      <c r="A619" s="0" t="s">
        <v>1941</v>
      </c>
      <c r="B619" s="4" t="n">
        <v>45985</v>
      </c>
      <c r="C619" s="0" t="s">
        <v>692</v>
      </c>
      <c r="D619" s="0" t="n">
        <v>2</v>
      </c>
      <c r="E619" s="0" t="s">
        <v>1942</v>
      </c>
      <c r="F619" s="3" t="n">
        <f aca="false">D619*_xlfn.XLOOKUP(C619,Item_Master!A:A,Item_Master!G:G)</f>
        <v>6720</v>
      </c>
      <c r="G619" s="0" t="str">
        <f aca="false">TEXT(B619,"MMM YYYY")</f>
        <v>Nov 2025</v>
      </c>
    </row>
    <row r="620" customFormat="false" ht="15" hidden="false" customHeight="false" outlineLevel="0" collapsed="false">
      <c r="A620" s="0" t="s">
        <v>1943</v>
      </c>
      <c r="B620" s="4" t="n">
        <v>45986</v>
      </c>
      <c r="C620" s="0" t="s">
        <v>79</v>
      </c>
      <c r="D620" s="0" t="n">
        <v>32</v>
      </c>
      <c r="E620" s="0" t="s">
        <v>1944</v>
      </c>
      <c r="F620" s="3" t="n">
        <f aca="false">D620*_xlfn.XLOOKUP(C620,Item_Master!A:A,Item_Master!G:G)</f>
        <v>69120</v>
      </c>
      <c r="G620" s="0" t="str">
        <f aca="false">TEXT(B620,"MMM YYYY")</f>
        <v>Nov 2025</v>
      </c>
    </row>
    <row r="621" customFormat="false" ht="15" hidden="false" customHeight="false" outlineLevel="0" collapsed="false">
      <c r="A621" s="0" t="s">
        <v>1945</v>
      </c>
      <c r="B621" s="4" t="n">
        <v>45986</v>
      </c>
      <c r="C621" s="0" t="s">
        <v>125</v>
      </c>
      <c r="D621" s="0" t="n">
        <v>27</v>
      </c>
      <c r="E621" s="0" t="s">
        <v>1946</v>
      </c>
      <c r="F621" s="3" t="n">
        <f aca="false">D621*_xlfn.XLOOKUP(C621,Item_Master!A:A,Item_Master!G:G)</f>
        <v>60480</v>
      </c>
      <c r="G621" s="0" t="str">
        <f aca="false">TEXT(B621,"MMM YYYY")</f>
        <v>Nov 2025</v>
      </c>
    </row>
    <row r="622" customFormat="false" ht="15" hidden="false" customHeight="false" outlineLevel="0" collapsed="false">
      <c r="A622" s="0" t="s">
        <v>1947</v>
      </c>
      <c r="B622" s="4" t="n">
        <v>45986</v>
      </c>
      <c r="C622" s="0" t="s">
        <v>133</v>
      </c>
      <c r="D622" s="0" t="n">
        <v>21</v>
      </c>
      <c r="E622" s="0" t="s">
        <v>1948</v>
      </c>
      <c r="F622" s="3" t="n">
        <f aca="false">D622*_xlfn.XLOOKUP(C622,Item_Master!A:A,Item_Master!G:G)</f>
        <v>26040</v>
      </c>
      <c r="G622" s="0" t="str">
        <f aca="false">TEXT(B622,"MMM YYYY")</f>
        <v>Nov 2025</v>
      </c>
    </row>
    <row r="623" customFormat="false" ht="15" hidden="false" customHeight="false" outlineLevel="0" collapsed="false">
      <c r="A623" s="0" t="s">
        <v>1949</v>
      </c>
      <c r="B623" s="4" t="n">
        <v>45986</v>
      </c>
      <c r="C623" s="0" t="s">
        <v>160</v>
      </c>
      <c r="D623" s="0" t="n">
        <v>18</v>
      </c>
      <c r="E623" s="0" t="s">
        <v>1950</v>
      </c>
      <c r="F623" s="3" t="n">
        <f aca="false">D623*_xlfn.XLOOKUP(C623,Item_Master!A:A,Item_Master!G:G)</f>
        <v>13860</v>
      </c>
      <c r="G623" s="0" t="str">
        <f aca="false">TEXT(B623,"MMM YYYY")</f>
        <v>Nov 2025</v>
      </c>
    </row>
    <row r="624" customFormat="false" ht="15" hidden="false" customHeight="false" outlineLevel="0" collapsed="false">
      <c r="A624" s="0" t="s">
        <v>1951</v>
      </c>
      <c r="B624" s="4" t="n">
        <v>45986</v>
      </c>
      <c r="C624" s="0" t="s">
        <v>221</v>
      </c>
      <c r="D624" s="0" t="n">
        <v>6</v>
      </c>
      <c r="E624" s="0" t="s">
        <v>1952</v>
      </c>
      <c r="F624" s="3" t="n">
        <f aca="false">D624*_xlfn.XLOOKUP(C624,Item_Master!A:A,Item_Master!G:G)</f>
        <v>9420</v>
      </c>
      <c r="G624" s="0" t="str">
        <f aca="false">TEXT(B624,"MMM YYYY")</f>
        <v>Nov 2025</v>
      </c>
    </row>
    <row r="625" customFormat="false" ht="15" hidden="false" customHeight="false" outlineLevel="0" collapsed="false">
      <c r="A625" s="0" t="s">
        <v>1953</v>
      </c>
      <c r="B625" s="4" t="n">
        <v>45986</v>
      </c>
      <c r="C625" s="0" t="s">
        <v>302</v>
      </c>
      <c r="D625" s="0" t="n">
        <v>27</v>
      </c>
      <c r="E625" s="0" t="s">
        <v>1954</v>
      </c>
      <c r="F625" s="3" t="n">
        <f aca="false">D625*_xlfn.XLOOKUP(C625,Item_Master!A:A,Item_Master!G:G)</f>
        <v>279720</v>
      </c>
      <c r="G625" s="0" t="str">
        <f aca="false">TEXT(B625,"MMM YYYY")</f>
        <v>Nov 2025</v>
      </c>
    </row>
    <row r="626" customFormat="false" ht="15" hidden="false" customHeight="false" outlineLevel="0" collapsed="false">
      <c r="A626" s="0" t="s">
        <v>1955</v>
      </c>
      <c r="B626" s="4" t="n">
        <v>45986</v>
      </c>
      <c r="C626" s="0" t="s">
        <v>312</v>
      </c>
      <c r="D626" s="0" t="n">
        <v>24</v>
      </c>
      <c r="E626" s="0" t="s">
        <v>1956</v>
      </c>
      <c r="F626" s="3" t="n">
        <f aca="false">D626*_xlfn.XLOOKUP(C626,Item_Master!A:A,Item_Master!G:G)</f>
        <v>19920</v>
      </c>
      <c r="G626" s="0" t="str">
        <f aca="false">TEXT(B626,"MMM YYYY")</f>
        <v>Nov 2025</v>
      </c>
    </row>
    <row r="627" customFormat="false" ht="15" hidden="false" customHeight="false" outlineLevel="0" collapsed="false">
      <c r="A627" s="0" t="s">
        <v>1957</v>
      </c>
      <c r="B627" s="4" t="n">
        <v>45986</v>
      </c>
      <c r="C627" s="0" t="s">
        <v>368</v>
      </c>
      <c r="D627" s="0" t="n">
        <v>9</v>
      </c>
      <c r="E627" s="0" t="s">
        <v>1958</v>
      </c>
      <c r="F627" s="3" t="n">
        <f aca="false">D627*_xlfn.XLOOKUP(C627,Item_Master!A:A,Item_Master!G:G)</f>
        <v>13320</v>
      </c>
      <c r="G627" s="0" t="str">
        <f aca="false">TEXT(B627,"MMM YYYY")</f>
        <v>Nov 2025</v>
      </c>
    </row>
    <row r="628" customFormat="false" ht="15" hidden="false" customHeight="false" outlineLevel="0" collapsed="false">
      <c r="A628" s="0" t="s">
        <v>1959</v>
      </c>
      <c r="B628" s="4" t="n">
        <v>45986</v>
      </c>
      <c r="C628" s="0" t="s">
        <v>384</v>
      </c>
      <c r="D628" s="0" t="n">
        <v>31</v>
      </c>
      <c r="E628" s="0" t="s">
        <v>1960</v>
      </c>
      <c r="F628" s="3" t="n">
        <f aca="false">D628*_xlfn.XLOOKUP(C628,Item_Master!A:A,Item_Master!G:G)</f>
        <v>51150</v>
      </c>
      <c r="G628" s="0" t="str">
        <f aca="false">TEXT(B628,"MMM YYYY")</f>
        <v>Nov 2025</v>
      </c>
    </row>
    <row r="629" customFormat="false" ht="15" hidden="false" customHeight="false" outlineLevel="0" collapsed="false">
      <c r="A629" s="0" t="s">
        <v>1961</v>
      </c>
      <c r="B629" s="4" t="n">
        <v>45986</v>
      </c>
      <c r="C629" s="0" t="s">
        <v>500</v>
      </c>
      <c r="D629" s="0" t="n">
        <v>2</v>
      </c>
      <c r="E629" s="0" t="s">
        <v>1962</v>
      </c>
      <c r="F629" s="3" t="n">
        <f aca="false">D629*_xlfn.XLOOKUP(C629,Item_Master!A:A,Item_Master!G:G)</f>
        <v>1380</v>
      </c>
      <c r="G629" s="0" t="str">
        <f aca="false">TEXT(B629,"MMM YYYY")</f>
        <v>Nov 2025</v>
      </c>
    </row>
    <row r="630" customFormat="false" ht="15" hidden="false" customHeight="false" outlineLevel="0" collapsed="false">
      <c r="A630" s="0" t="s">
        <v>1963</v>
      </c>
      <c r="B630" s="4" t="n">
        <v>45986</v>
      </c>
      <c r="C630" s="0" t="s">
        <v>518</v>
      </c>
      <c r="D630" s="0" t="n">
        <v>7</v>
      </c>
      <c r="E630" s="0" t="s">
        <v>1964</v>
      </c>
      <c r="F630" s="3" t="n">
        <f aca="false">D630*_xlfn.XLOOKUP(C630,Item_Master!A:A,Item_Master!G:G)</f>
        <v>23030</v>
      </c>
      <c r="G630" s="0" t="str">
        <f aca="false">TEXT(B630,"MMM YYYY")</f>
        <v>Nov 2025</v>
      </c>
    </row>
    <row r="631" customFormat="false" ht="15" hidden="false" customHeight="false" outlineLevel="0" collapsed="false">
      <c r="A631" s="0" t="s">
        <v>1965</v>
      </c>
      <c r="B631" s="4" t="n">
        <v>45986</v>
      </c>
      <c r="C631" s="0" t="s">
        <v>541</v>
      </c>
      <c r="D631" s="0" t="n">
        <v>1</v>
      </c>
      <c r="E631" s="0" t="s">
        <v>1966</v>
      </c>
      <c r="F631" s="3" t="n">
        <f aca="false">D631*_xlfn.XLOOKUP(C631,Item_Master!A:A,Item_Master!G:G)</f>
        <v>1160</v>
      </c>
      <c r="G631" s="0" t="str">
        <f aca="false">TEXT(B631,"MMM YYYY")</f>
        <v>Nov 2025</v>
      </c>
    </row>
    <row r="632" customFormat="false" ht="15" hidden="false" customHeight="false" outlineLevel="0" collapsed="false">
      <c r="A632" s="0" t="s">
        <v>1967</v>
      </c>
      <c r="B632" s="4" t="n">
        <v>45986</v>
      </c>
      <c r="C632" s="0" t="s">
        <v>653</v>
      </c>
      <c r="D632" s="0" t="n">
        <v>3</v>
      </c>
      <c r="E632" s="0" t="s">
        <v>1968</v>
      </c>
      <c r="F632" s="3" t="n">
        <f aca="false">D632*_xlfn.XLOOKUP(C632,Item_Master!A:A,Item_Master!G:G)</f>
        <v>5220</v>
      </c>
      <c r="G632" s="0" t="str">
        <f aca="false">TEXT(B632,"MMM YYYY")</f>
        <v>Nov 2025</v>
      </c>
    </row>
    <row r="633" customFormat="false" ht="15" hidden="false" customHeight="false" outlineLevel="0" collapsed="false">
      <c r="A633" s="0" t="s">
        <v>1969</v>
      </c>
      <c r="B633" s="4" t="n">
        <v>45986</v>
      </c>
      <c r="C633" s="0" t="s">
        <v>683</v>
      </c>
      <c r="D633" s="0" t="n">
        <v>31</v>
      </c>
      <c r="E633" s="0" t="s">
        <v>1970</v>
      </c>
      <c r="F633" s="3" t="n">
        <f aca="false">D633*_xlfn.XLOOKUP(C633,Item_Master!A:A,Item_Master!G:G)</f>
        <v>24800</v>
      </c>
      <c r="G633" s="0" t="str">
        <f aca="false">TEXT(B633,"MMM YYYY")</f>
        <v>Nov 2025</v>
      </c>
    </row>
    <row r="634" customFormat="false" ht="15" hidden="false" customHeight="false" outlineLevel="0" collapsed="false">
      <c r="A634" s="0" t="s">
        <v>1971</v>
      </c>
      <c r="B634" s="4" t="n">
        <v>45986</v>
      </c>
      <c r="C634" s="0" t="s">
        <v>694</v>
      </c>
      <c r="D634" s="0" t="n">
        <v>4</v>
      </c>
      <c r="E634" s="0" t="s">
        <v>1972</v>
      </c>
      <c r="F634" s="3" t="n">
        <f aca="false">D634*_xlfn.XLOOKUP(C634,Item_Master!A:A,Item_Master!G:G)</f>
        <v>99640</v>
      </c>
      <c r="G634" s="0" t="str">
        <f aca="false">TEXT(B634,"MMM YYYY")</f>
        <v>Nov 2025</v>
      </c>
    </row>
    <row r="635" customFormat="false" ht="15" hidden="false" customHeight="false" outlineLevel="0" collapsed="false">
      <c r="A635" s="0" t="s">
        <v>1973</v>
      </c>
      <c r="B635" s="4" t="n">
        <v>45986</v>
      </c>
      <c r="C635" s="0" t="s">
        <v>706</v>
      </c>
      <c r="D635" s="0" t="n">
        <v>6</v>
      </c>
      <c r="E635" s="0" t="s">
        <v>1974</v>
      </c>
      <c r="F635" s="3" t="n">
        <f aca="false">D635*_xlfn.XLOOKUP(C635,Item_Master!A:A,Item_Master!G:G)</f>
        <v>7380</v>
      </c>
      <c r="G635" s="0" t="str">
        <f aca="false">TEXT(B635,"MMM YYYY")</f>
        <v>Nov 2025</v>
      </c>
    </row>
    <row r="636" customFormat="false" ht="15" hidden="false" customHeight="false" outlineLevel="0" collapsed="false">
      <c r="A636" s="0" t="s">
        <v>1975</v>
      </c>
      <c r="B636" s="4" t="n">
        <v>45987</v>
      </c>
      <c r="C636" s="0" t="s">
        <v>17</v>
      </c>
      <c r="D636" s="0" t="n">
        <v>2</v>
      </c>
      <c r="E636" s="0" t="s">
        <v>1976</v>
      </c>
      <c r="F636" s="3" t="n">
        <f aca="false">D636*_xlfn.XLOOKUP(C636,Item_Master!A:A,Item_Master!G:G)</f>
        <v>1860</v>
      </c>
      <c r="G636" s="0" t="str">
        <f aca="false">TEXT(B636,"MMM YYYY")</f>
        <v>Nov 2025</v>
      </c>
    </row>
    <row r="637" customFormat="false" ht="15" hidden="false" customHeight="false" outlineLevel="0" collapsed="false">
      <c r="A637" s="0" t="s">
        <v>1977</v>
      </c>
      <c r="B637" s="4" t="n">
        <v>45987</v>
      </c>
      <c r="C637" s="0" t="s">
        <v>185</v>
      </c>
      <c r="D637" s="0" t="n">
        <v>9</v>
      </c>
      <c r="E637" s="0" t="s">
        <v>1978</v>
      </c>
      <c r="F637" s="3" t="n">
        <f aca="false">D637*_xlfn.XLOOKUP(C637,Item_Master!A:A,Item_Master!G:G)</f>
        <v>17010</v>
      </c>
      <c r="G637" s="0" t="str">
        <f aca="false">TEXT(B637,"MMM YYYY")</f>
        <v>Nov 2025</v>
      </c>
    </row>
    <row r="638" customFormat="false" ht="15" hidden="false" customHeight="false" outlineLevel="0" collapsed="false">
      <c r="A638" s="0" t="s">
        <v>1979</v>
      </c>
      <c r="B638" s="4" t="n">
        <v>45987</v>
      </c>
      <c r="C638" s="0" t="s">
        <v>215</v>
      </c>
      <c r="D638" s="0" t="n">
        <v>13</v>
      </c>
      <c r="E638" s="0" t="s">
        <v>1980</v>
      </c>
      <c r="F638" s="3" t="n">
        <f aca="false">D638*_xlfn.XLOOKUP(C638,Item_Master!A:A,Item_Master!G:G)</f>
        <v>7280</v>
      </c>
      <c r="G638" s="0" t="str">
        <f aca="false">TEXT(B638,"MMM YYYY")</f>
        <v>Nov 2025</v>
      </c>
    </row>
    <row r="639" customFormat="false" ht="15" hidden="false" customHeight="false" outlineLevel="0" collapsed="false">
      <c r="A639" s="0" t="s">
        <v>1981</v>
      </c>
      <c r="B639" s="4" t="n">
        <v>45987</v>
      </c>
      <c r="C639" s="0" t="s">
        <v>267</v>
      </c>
      <c r="D639" s="0" t="n">
        <v>34</v>
      </c>
      <c r="E639" s="0" t="s">
        <v>1982</v>
      </c>
      <c r="F639" s="3" t="n">
        <f aca="false">D639*_xlfn.XLOOKUP(C639,Item_Master!A:A,Item_Master!G:G)</f>
        <v>5780</v>
      </c>
      <c r="G639" s="0" t="str">
        <f aca="false">TEXT(B639,"MMM YYYY")</f>
        <v>Nov 2025</v>
      </c>
    </row>
    <row r="640" customFormat="false" ht="15" hidden="false" customHeight="false" outlineLevel="0" collapsed="false">
      <c r="A640" s="0" t="s">
        <v>1983</v>
      </c>
      <c r="B640" s="4" t="n">
        <v>45987</v>
      </c>
      <c r="C640" s="0" t="s">
        <v>275</v>
      </c>
      <c r="D640" s="0" t="n">
        <v>12</v>
      </c>
      <c r="E640" s="0" t="s">
        <v>1984</v>
      </c>
      <c r="F640" s="3" t="n">
        <f aca="false">D640*_xlfn.XLOOKUP(C640,Item_Master!A:A,Item_Master!G:G)</f>
        <v>50880</v>
      </c>
      <c r="G640" s="0" t="str">
        <f aca="false">TEXT(B640,"MMM YYYY")</f>
        <v>Nov 2025</v>
      </c>
    </row>
    <row r="641" customFormat="false" ht="15" hidden="false" customHeight="false" outlineLevel="0" collapsed="false">
      <c r="A641" s="0" t="s">
        <v>1985</v>
      </c>
      <c r="B641" s="4" t="n">
        <v>45987</v>
      </c>
      <c r="C641" s="0" t="s">
        <v>289</v>
      </c>
      <c r="D641" s="0" t="n">
        <v>21</v>
      </c>
      <c r="E641" s="0" t="s">
        <v>1986</v>
      </c>
      <c r="F641" s="3" t="n">
        <f aca="false">D641*_xlfn.XLOOKUP(C641,Item_Master!A:A,Item_Master!G:G)</f>
        <v>63000</v>
      </c>
      <c r="G641" s="0" t="str">
        <f aca="false">TEXT(B641,"MMM YYYY")</f>
        <v>Nov 2025</v>
      </c>
    </row>
    <row r="642" customFormat="false" ht="15" hidden="false" customHeight="false" outlineLevel="0" collapsed="false">
      <c r="A642" s="0" t="s">
        <v>1987</v>
      </c>
      <c r="B642" s="4" t="n">
        <v>45987</v>
      </c>
      <c r="C642" s="0" t="s">
        <v>339</v>
      </c>
      <c r="D642" s="0" t="n">
        <v>2</v>
      </c>
      <c r="E642" s="0" t="s">
        <v>1988</v>
      </c>
      <c r="F642" s="3" t="n">
        <f aca="false">D642*_xlfn.XLOOKUP(C642,Item_Master!A:A,Item_Master!G:G)</f>
        <v>10120</v>
      </c>
      <c r="G642" s="0" t="str">
        <f aca="false">TEXT(B642,"MMM YYYY")</f>
        <v>Nov 2025</v>
      </c>
    </row>
    <row r="643" customFormat="false" ht="15" hidden="false" customHeight="false" outlineLevel="0" collapsed="false">
      <c r="A643" s="0" t="s">
        <v>1989</v>
      </c>
      <c r="B643" s="4" t="n">
        <v>45987</v>
      </c>
      <c r="C643" s="0" t="s">
        <v>355</v>
      </c>
      <c r="D643" s="0" t="n">
        <v>18</v>
      </c>
      <c r="E643" s="0" t="s">
        <v>1990</v>
      </c>
      <c r="F643" s="3" t="n">
        <f aca="false">D643*_xlfn.XLOOKUP(C643,Item_Master!A:A,Item_Master!G:G)</f>
        <v>17820</v>
      </c>
      <c r="G643" s="0" t="str">
        <f aca="false">TEXT(B643,"MMM YYYY")</f>
        <v>Nov 2025</v>
      </c>
    </row>
    <row r="644" customFormat="false" ht="15" hidden="false" customHeight="false" outlineLevel="0" collapsed="false">
      <c r="A644" s="0" t="s">
        <v>1991</v>
      </c>
      <c r="B644" s="4" t="n">
        <v>45987</v>
      </c>
      <c r="C644" s="0" t="s">
        <v>398</v>
      </c>
      <c r="D644" s="0" t="n">
        <v>32</v>
      </c>
      <c r="E644" s="0" t="s">
        <v>1992</v>
      </c>
      <c r="F644" s="3" t="n">
        <f aca="false">D644*_xlfn.XLOOKUP(C644,Item_Master!A:A,Item_Master!G:G)</f>
        <v>9920</v>
      </c>
      <c r="G644" s="0" t="str">
        <f aca="false">TEXT(B644,"MMM YYYY")</f>
        <v>Nov 2025</v>
      </c>
    </row>
    <row r="645" customFormat="false" ht="15" hidden="false" customHeight="false" outlineLevel="0" collapsed="false">
      <c r="A645" s="0" t="s">
        <v>1993</v>
      </c>
      <c r="B645" s="4" t="n">
        <v>45987</v>
      </c>
      <c r="C645" s="0" t="s">
        <v>443</v>
      </c>
      <c r="D645" s="0" t="n">
        <v>3</v>
      </c>
      <c r="E645" s="0" t="s">
        <v>1994</v>
      </c>
      <c r="F645" s="3" t="n">
        <f aca="false">D645*_xlfn.XLOOKUP(C645,Item_Master!A:A,Item_Master!G:G)</f>
        <v>5040</v>
      </c>
      <c r="G645" s="0" t="str">
        <f aca="false">TEXT(B645,"MMM YYYY")</f>
        <v>Nov 2025</v>
      </c>
    </row>
    <row r="646" customFormat="false" ht="15" hidden="false" customHeight="false" outlineLevel="0" collapsed="false">
      <c r="A646" s="0" t="s">
        <v>1995</v>
      </c>
      <c r="B646" s="4" t="n">
        <v>45987</v>
      </c>
      <c r="C646" s="0" t="s">
        <v>444</v>
      </c>
      <c r="D646" s="0" t="n">
        <v>35</v>
      </c>
      <c r="E646" s="0" t="s">
        <v>1996</v>
      </c>
      <c r="F646" s="3" t="n">
        <f aca="false">D646*_xlfn.XLOOKUP(C646,Item_Master!A:A,Item_Master!G:G)</f>
        <v>32900</v>
      </c>
      <c r="G646" s="0" t="str">
        <f aca="false">TEXT(B646,"MMM YYYY")</f>
        <v>Nov 2025</v>
      </c>
    </row>
    <row r="647" customFormat="false" ht="15" hidden="false" customHeight="false" outlineLevel="0" collapsed="false">
      <c r="A647" s="0" t="s">
        <v>1997</v>
      </c>
      <c r="B647" s="4" t="n">
        <v>45987</v>
      </c>
      <c r="C647" s="0" t="s">
        <v>498</v>
      </c>
      <c r="D647" s="0" t="n">
        <v>2</v>
      </c>
      <c r="E647" s="0" t="s">
        <v>1998</v>
      </c>
      <c r="F647" s="3" t="n">
        <f aca="false">D647*_xlfn.XLOOKUP(C647,Item_Master!A:A,Item_Master!G:G)</f>
        <v>5900</v>
      </c>
      <c r="G647" s="0" t="str">
        <f aca="false">TEXT(B647,"MMM YYYY")</f>
        <v>Nov 2025</v>
      </c>
    </row>
    <row r="648" customFormat="false" ht="15" hidden="false" customHeight="false" outlineLevel="0" collapsed="false">
      <c r="A648" s="0" t="s">
        <v>1999</v>
      </c>
      <c r="B648" s="4" t="n">
        <v>45987</v>
      </c>
      <c r="C648" s="0" t="s">
        <v>529</v>
      </c>
      <c r="D648" s="0" t="n">
        <v>13</v>
      </c>
      <c r="E648" s="0" t="s">
        <v>2000</v>
      </c>
      <c r="F648" s="3" t="n">
        <f aca="false">D648*_xlfn.XLOOKUP(C648,Item_Master!A:A,Item_Master!G:G)</f>
        <v>152880</v>
      </c>
      <c r="G648" s="0" t="str">
        <f aca="false">TEXT(B648,"MMM YYYY")</f>
        <v>Nov 2025</v>
      </c>
    </row>
    <row r="649" customFormat="false" ht="15" hidden="false" customHeight="false" outlineLevel="0" collapsed="false">
      <c r="A649" s="0" t="s">
        <v>2001</v>
      </c>
      <c r="B649" s="4" t="n">
        <v>45987</v>
      </c>
      <c r="C649" s="0" t="s">
        <v>592</v>
      </c>
      <c r="D649" s="0" t="n">
        <v>20</v>
      </c>
      <c r="E649" s="0" t="s">
        <v>2002</v>
      </c>
      <c r="F649" s="3" t="n">
        <f aca="false">D649*_xlfn.XLOOKUP(C649,Item_Master!A:A,Item_Master!G:G)</f>
        <v>63800</v>
      </c>
      <c r="G649" s="0" t="str">
        <f aca="false">TEXT(B649,"MMM YYYY")</f>
        <v>Nov 2025</v>
      </c>
    </row>
    <row r="650" customFormat="false" ht="15" hidden="false" customHeight="false" outlineLevel="0" collapsed="false">
      <c r="A650" s="0" t="s">
        <v>2003</v>
      </c>
      <c r="B650" s="4" t="n">
        <v>45987</v>
      </c>
      <c r="C650" s="0" t="s">
        <v>592</v>
      </c>
      <c r="D650" s="0" t="n">
        <v>38</v>
      </c>
      <c r="E650" s="0" t="s">
        <v>2004</v>
      </c>
      <c r="F650" s="3" t="n">
        <f aca="false">D650*_xlfn.XLOOKUP(C650,Item_Master!A:A,Item_Master!G:G)</f>
        <v>121220</v>
      </c>
      <c r="G650" s="0" t="str">
        <f aca="false">TEXT(B650,"MMM YYYY")</f>
        <v>Nov 2025</v>
      </c>
    </row>
    <row r="651" customFormat="false" ht="15" hidden="false" customHeight="false" outlineLevel="0" collapsed="false">
      <c r="A651" s="0" t="s">
        <v>2005</v>
      </c>
      <c r="B651" s="4" t="n">
        <v>45987</v>
      </c>
      <c r="C651" s="0" t="s">
        <v>681</v>
      </c>
      <c r="D651" s="0" t="n">
        <v>3</v>
      </c>
      <c r="E651" s="0" t="s">
        <v>2006</v>
      </c>
      <c r="F651" s="3" t="n">
        <f aca="false">D651*_xlfn.XLOOKUP(C651,Item_Master!A:A,Item_Master!G:G)</f>
        <v>3690</v>
      </c>
      <c r="G651" s="0" t="str">
        <f aca="false">TEXT(B651,"MMM YYYY")</f>
        <v>Nov 2025</v>
      </c>
    </row>
    <row r="652" customFormat="false" ht="15" hidden="false" customHeight="false" outlineLevel="0" collapsed="false">
      <c r="A652" s="0" t="s">
        <v>2007</v>
      </c>
      <c r="B652" s="4" t="n">
        <v>45988</v>
      </c>
      <c r="C652" s="0" t="s">
        <v>165</v>
      </c>
      <c r="D652" s="0" t="n">
        <v>5</v>
      </c>
      <c r="E652" s="0" t="s">
        <v>2008</v>
      </c>
      <c r="F652" s="3" t="n">
        <f aca="false">D652*_xlfn.XLOOKUP(C652,Item_Master!A:A,Item_Master!G:G)</f>
        <v>4850</v>
      </c>
      <c r="G652" s="0" t="str">
        <f aca="false">TEXT(B652,"MMM YYYY")</f>
        <v>Nov 2025</v>
      </c>
    </row>
    <row r="653" customFormat="false" ht="15" hidden="false" customHeight="false" outlineLevel="0" collapsed="false">
      <c r="A653" s="0" t="s">
        <v>2009</v>
      </c>
      <c r="B653" s="4" t="n">
        <v>45988</v>
      </c>
      <c r="C653" s="0" t="s">
        <v>229</v>
      </c>
      <c r="D653" s="0" t="n">
        <v>1</v>
      </c>
      <c r="E653" s="0" t="s">
        <v>2010</v>
      </c>
      <c r="F653" s="3" t="n">
        <f aca="false">D653*_xlfn.XLOOKUP(C653,Item_Master!A:A,Item_Master!G:G)</f>
        <v>3160</v>
      </c>
      <c r="G653" s="0" t="str">
        <f aca="false">TEXT(B653,"MMM YYYY")</f>
        <v>Nov 2025</v>
      </c>
    </row>
    <row r="654" customFormat="false" ht="15" hidden="false" customHeight="false" outlineLevel="0" collapsed="false">
      <c r="A654" s="0" t="s">
        <v>2011</v>
      </c>
      <c r="B654" s="4" t="n">
        <v>45988</v>
      </c>
      <c r="C654" s="0" t="s">
        <v>237</v>
      </c>
      <c r="D654" s="0" t="n">
        <v>18</v>
      </c>
      <c r="E654" s="0" t="s">
        <v>2012</v>
      </c>
      <c r="F654" s="3" t="n">
        <f aca="false">D654*_xlfn.XLOOKUP(C654,Item_Master!A:A,Item_Master!G:G)</f>
        <v>12960</v>
      </c>
      <c r="G654" s="0" t="str">
        <f aca="false">TEXT(B654,"MMM YYYY")</f>
        <v>Nov 2025</v>
      </c>
    </row>
    <row r="655" customFormat="false" ht="15" hidden="false" customHeight="false" outlineLevel="0" collapsed="false">
      <c r="A655" s="0" t="s">
        <v>2013</v>
      </c>
      <c r="B655" s="4" t="n">
        <v>45988</v>
      </c>
      <c r="C655" s="0" t="s">
        <v>450</v>
      </c>
      <c r="D655" s="0" t="n">
        <v>12</v>
      </c>
      <c r="E655" s="0" t="s">
        <v>2014</v>
      </c>
      <c r="F655" s="3" t="n">
        <f aca="false">D655*_xlfn.XLOOKUP(C655,Item_Master!A:A,Item_Master!G:G)</f>
        <v>10200</v>
      </c>
      <c r="G655" s="0" t="str">
        <f aca="false">TEXT(B655,"MMM YYYY")</f>
        <v>Nov 2025</v>
      </c>
    </row>
    <row r="656" customFormat="false" ht="15" hidden="false" customHeight="false" outlineLevel="0" collapsed="false">
      <c r="A656" s="0" t="s">
        <v>2015</v>
      </c>
      <c r="B656" s="4" t="n">
        <v>45988</v>
      </c>
      <c r="C656" s="0" t="s">
        <v>467</v>
      </c>
      <c r="D656" s="0" t="n">
        <v>16</v>
      </c>
      <c r="E656" s="0" t="s">
        <v>2016</v>
      </c>
      <c r="F656" s="3" t="n">
        <f aca="false">D656*_xlfn.XLOOKUP(C656,Item_Master!A:A,Item_Master!G:G)</f>
        <v>114080</v>
      </c>
      <c r="G656" s="0" t="str">
        <f aca="false">TEXT(B656,"MMM YYYY")</f>
        <v>Nov 2025</v>
      </c>
    </row>
    <row r="657" customFormat="false" ht="15" hidden="false" customHeight="false" outlineLevel="0" collapsed="false">
      <c r="A657" s="0" t="s">
        <v>2017</v>
      </c>
      <c r="B657" s="4" t="n">
        <v>45988</v>
      </c>
      <c r="C657" s="0" t="s">
        <v>596</v>
      </c>
      <c r="D657" s="0" t="n">
        <v>1</v>
      </c>
      <c r="E657" s="0" t="s">
        <v>2018</v>
      </c>
      <c r="F657" s="3" t="n">
        <f aca="false">D657*_xlfn.XLOOKUP(C657,Item_Master!A:A,Item_Master!G:G)</f>
        <v>15170</v>
      </c>
      <c r="G657" s="0" t="str">
        <f aca="false">TEXT(B657,"MMM YYYY")</f>
        <v>Nov 2025</v>
      </c>
    </row>
    <row r="658" customFormat="false" ht="15" hidden="false" customHeight="false" outlineLevel="0" collapsed="false">
      <c r="A658" s="0" t="s">
        <v>2019</v>
      </c>
      <c r="B658" s="4" t="n">
        <v>45988</v>
      </c>
      <c r="C658" s="0" t="s">
        <v>610</v>
      </c>
      <c r="D658" s="0" t="n">
        <v>39</v>
      </c>
      <c r="E658" s="0" t="s">
        <v>2020</v>
      </c>
      <c r="F658" s="3" t="n">
        <f aca="false">D658*_xlfn.XLOOKUP(C658,Item_Master!A:A,Item_Master!G:G)</f>
        <v>88920</v>
      </c>
      <c r="G658" s="0" t="str">
        <f aca="false">TEXT(B658,"MMM YYYY")</f>
        <v>Nov 2025</v>
      </c>
    </row>
    <row r="659" customFormat="false" ht="15" hidden="false" customHeight="false" outlineLevel="0" collapsed="false">
      <c r="A659" s="0" t="s">
        <v>2021</v>
      </c>
      <c r="B659" s="4" t="n">
        <v>45989</v>
      </c>
      <c r="C659" s="0" t="s">
        <v>117</v>
      </c>
      <c r="D659" s="0" t="n">
        <v>8</v>
      </c>
      <c r="E659" s="0" t="s">
        <v>2022</v>
      </c>
      <c r="F659" s="3" t="n">
        <f aca="false">D659*_xlfn.XLOOKUP(C659,Item_Master!A:A,Item_Master!G:G)</f>
        <v>2880</v>
      </c>
      <c r="G659" s="0" t="str">
        <f aca="false">TEXT(B659,"MMM YYYY")</f>
        <v>Nov 2025</v>
      </c>
    </row>
    <row r="660" customFormat="false" ht="15" hidden="false" customHeight="false" outlineLevel="0" collapsed="false">
      <c r="A660" s="0" t="s">
        <v>2023</v>
      </c>
      <c r="B660" s="4" t="n">
        <v>45989</v>
      </c>
      <c r="C660" s="0" t="s">
        <v>187</v>
      </c>
      <c r="D660" s="0" t="n">
        <v>21</v>
      </c>
      <c r="E660" s="0" t="s">
        <v>2024</v>
      </c>
      <c r="F660" s="3" t="n">
        <f aca="false">D660*_xlfn.XLOOKUP(C660,Item_Master!A:A,Item_Master!G:G)</f>
        <v>14700</v>
      </c>
      <c r="G660" s="0" t="str">
        <f aca="false">TEXT(B660,"MMM YYYY")</f>
        <v>Nov 2025</v>
      </c>
    </row>
    <row r="661" customFormat="false" ht="15" hidden="false" customHeight="false" outlineLevel="0" collapsed="false">
      <c r="A661" s="0" t="s">
        <v>2025</v>
      </c>
      <c r="B661" s="4" t="n">
        <v>45989</v>
      </c>
      <c r="C661" s="0" t="s">
        <v>221</v>
      </c>
      <c r="D661" s="0" t="n">
        <v>30</v>
      </c>
      <c r="E661" s="0" t="s">
        <v>2026</v>
      </c>
      <c r="F661" s="3" t="n">
        <f aca="false">D661*_xlfn.XLOOKUP(C661,Item_Master!A:A,Item_Master!G:G)</f>
        <v>47100</v>
      </c>
      <c r="G661" s="0" t="str">
        <f aca="false">TEXT(B661,"MMM YYYY")</f>
        <v>Nov 2025</v>
      </c>
    </row>
    <row r="662" customFormat="false" ht="15" hidden="false" customHeight="false" outlineLevel="0" collapsed="false">
      <c r="A662" s="0" t="s">
        <v>2027</v>
      </c>
      <c r="B662" s="4" t="n">
        <v>45989</v>
      </c>
      <c r="C662" s="0" t="s">
        <v>289</v>
      </c>
      <c r="D662" s="0" t="n">
        <v>6</v>
      </c>
      <c r="E662" s="0" t="s">
        <v>2028</v>
      </c>
      <c r="F662" s="3" t="n">
        <f aca="false">D662*_xlfn.XLOOKUP(C662,Item_Master!A:A,Item_Master!G:G)</f>
        <v>18000</v>
      </c>
      <c r="G662" s="0" t="str">
        <f aca="false">TEXT(B662,"MMM YYYY")</f>
        <v>Nov 2025</v>
      </c>
    </row>
    <row r="663" customFormat="false" ht="15" hidden="false" customHeight="false" outlineLevel="0" collapsed="false">
      <c r="A663" s="0" t="s">
        <v>2029</v>
      </c>
      <c r="B663" s="4" t="n">
        <v>45989</v>
      </c>
      <c r="C663" s="0" t="s">
        <v>473</v>
      </c>
      <c r="D663" s="0" t="n">
        <v>4</v>
      </c>
      <c r="E663" s="0" t="s">
        <v>2030</v>
      </c>
      <c r="F663" s="3" t="n">
        <f aca="false">D663*_xlfn.XLOOKUP(C663,Item_Master!A:A,Item_Master!G:G)</f>
        <v>760</v>
      </c>
      <c r="G663" s="0" t="str">
        <f aca="false">TEXT(B663,"MMM YYYY")</f>
        <v>Nov 2025</v>
      </c>
    </row>
    <row r="664" customFormat="false" ht="15" hidden="false" customHeight="false" outlineLevel="0" collapsed="false">
      <c r="A664" s="0" t="s">
        <v>2031</v>
      </c>
      <c r="B664" s="4" t="n">
        <v>45989</v>
      </c>
      <c r="C664" s="0" t="s">
        <v>523</v>
      </c>
      <c r="D664" s="0" t="n">
        <v>7</v>
      </c>
      <c r="E664" s="0" t="s">
        <v>2032</v>
      </c>
      <c r="F664" s="3" t="n">
        <f aca="false">D664*_xlfn.XLOOKUP(C664,Item_Master!A:A,Item_Master!G:G)</f>
        <v>20790</v>
      </c>
      <c r="G664" s="0" t="str">
        <f aca="false">TEXT(B664,"MMM YYYY")</f>
        <v>Nov 2025</v>
      </c>
    </row>
    <row r="665" customFormat="false" ht="15" hidden="false" customHeight="false" outlineLevel="0" collapsed="false">
      <c r="A665" s="0" t="s">
        <v>2033</v>
      </c>
      <c r="B665" s="4" t="n">
        <v>45990</v>
      </c>
      <c r="C665" s="0" t="s">
        <v>37</v>
      </c>
      <c r="D665" s="0" t="n">
        <v>2</v>
      </c>
      <c r="E665" s="0" t="s">
        <v>2034</v>
      </c>
      <c r="F665" s="3" t="n">
        <f aca="false">D665*_xlfn.XLOOKUP(C665,Item_Master!A:A,Item_Master!G:G)</f>
        <v>1080</v>
      </c>
      <c r="G665" s="0" t="str">
        <f aca="false">TEXT(B665,"MMM YYYY")</f>
        <v>Nov 2025</v>
      </c>
    </row>
    <row r="666" customFormat="false" ht="15" hidden="false" customHeight="false" outlineLevel="0" collapsed="false">
      <c r="A666" s="0" t="s">
        <v>2035</v>
      </c>
      <c r="B666" s="4" t="n">
        <v>45990</v>
      </c>
      <c r="C666" s="0" t="s">
        <v>68</v>
      </c>
      <c r="D666" s="0" t="n">
        <v>11</v>
      </c>
      <c r="E666" s="0" t="s">
        <v>2036</v>
      </c>
      <c r="F666" s="3" t="n">
        <f aca="false">D666*_xlfn.XLOOKUP(C666,Item_Master!A:A,Item_Master!G:G)</f>
        <v>14850</v>
      </c>
      <c r="G666" s="0" t="str">
        <f aca="false">TEXT(B666,"MMM YYYY")</f>
        <v>Nov 2025</v>
      </c>
    </row>
    <row r="667" customFormat="false" ht="15" hidden="false" customHeight="false" outlineLevel="0" collapsed="false">
      <c r="A667" s="0" t="s">
        <v>2037</v>
      </c>
      <c r="B667" s="4" t="n">
        <v>45990</v>
      </c>
      <c r="C667" s="0" t="s">
        <v>87</v>
      </c>
      <c r="D667" s="0" t="n">
        <v>33</v>
      </c>
      <c r="E667" s="0" t="s">
        <v>2038</v>
      </c>
      <c r="F667" s="3" t="n">
        <f aca="false">D667*_xlfn.XLOOKUP(C667,Item_Master!A:A,Item_Master!G:G)</f>
        <v>65670</v>
      </c>
      <c r="G667" s="0" t="str">
        <f aca="false">TEXT(B667,"MMM YYYY")</f>
        <v>Nov 2025</v>
      </c>
    </row>
    <row r="668" customFormat="false" ht="15" hidden="false" customHeight="false" outlineLevel="0" collapsed="false">
      <c r="A668" s="0" t="s">
        <v>2039</v>
      </c>
      <c r="B668" s="4" t="n">
        <v>45990</v>
      </c>
      <c r="C668" s="0" t="s">
        <v>191</v>
      </c>
      <c r="D668" s="0" t="n">
        <v>13</v>
      </c>
      <c r="E668" s="0" t="s">
        <v>2040</v>
      </c>
      <c r="F668" s="3" t="n">
        <f aca="false">D668*_xlfn.XLOOKUP(C668,Item_Master!A:A,Item_Master!G:G)</f>
        <v>149240</v>
      </c>
      <c r="G668" s="0" t="str">
        <f aca="false">TEXT(B668,"MMM YYYY")</f>
        <v>Nov 2025</v>
      </c>
    </row>
    <row r="669" customFormat="false" ht="15" hidden="false" customHeight="false" outlineLevel="0" collapsed="false">
      <c r="A669" s="0" t="s">
        <v>2041</v>
      </c>
      <c r="B669" s="4" t="n">
        <v>45990</v>
      </c>
      <c r="C669" s="0" t="s">
        <v>245</v>
      </c>
      <c r="D669" s="0" t="n">
        <v>36</v>
      </c>
      <c r="E669" s="0" t="s">
        <v>2042</v>
      </c>
      <c r="F669" s="3" t="n">
        <f aca="false">D669*_xlfn.XLOOKUP(C669,Item_Master!A:A,Item_Master!G:G)</f>
        <v>82080</v>
      </c>
      <c r="G669" s="0" t="str">
        <f aca="false">TEXT(B669,"MMM YYYY")</f>
        <v>Nov 2025</v>
      </c>
    </row>
    <row r="670" customFormat="false" ht="15" hidden="false" customHeight="false" outlineLevel="0" collapsed="false">
      <c r="A670" s="0" t="s">
        <v>2043</v>
      </c>
      <c r="B670" s="4" t="n">
        <v>45990</v>
      </c>
      <c r="C670" s="0" t="s">
        <v>277</v>
      </c>
      <c r="D670" s="0" t="n">
        <v>24</v>
      </c>
      <c r="E670" s="0" t="s">
        <v>2044</v>
      </c>
      <c r="F670" s="3" t="n">
        <f aca="false">D670*_xlfn.XLOOKUP(C670,Item_Master!A:A,Item_Master!G:G)</f>
        <v>47040</v>
      </c>
      <c r="G670" s="0" t="str">
        <f aca="false">TEXT(B670,"MMM YYYY")</f>
        <v>Nov 2025</v>
      </c>
    </row>
    <row r="671" customFormat="false" ht="15" hidden="false" customHeight="false" outlineLevel="0" collapsed="false">
      <c r="A671" s="0" t="s">
        <v>2045</v>
      </c>
      <c r="B671" s="4" t="n">
        <v>45990</v>
      </c>
      <c r="C671" s="0" t="s">
        <v>331</v>
      </c>
      <c r="D671" s="0" t="n">
        <v>20</v>
      </c>
      <c r="E671" s="0" t="s">
        <v>2046</v>
      </c>
      <c r="F671" s="3" t="n">
        <f aca="false">D671*_xlfn.XLOOKUP(C671,Item_Master!A:A,Item_Master!G:G)</f>
        <v>26000</v>
      </c>
      <c r="G671" s="0" t="str">
        <f aca="false">TEXT(B671,"MMM YYYY")</f>
        <v>Nov 2025</v>
      </c>
    </row>
    <row r="672" customFormat="false" ht="15" hidden="false" customHeight="false" outlineLevel="0" collapsed="false">
      <c r="A672" s="0" t="s">
        <v>2047</v>
      </c>
      <c r="B672" s="4" t="n">
        <v>45990</v>
      </c>
      <c r="C672" s="0" t="s">
        <v>338</v>
      </c>
      <c r="D672" s="0" t="n">
        <v>20</v>
      </c>
      <c r="E672" s="0" t="s">
        <v>2048</v>
      </c>
      <c r="F672" s="3" t="n">
        <f aca="false">D672*_xlfn.XLOOKUP(C672,Item_Master!A:A,Item_Master!G:G)</f>
        <v>63200</v>
      </c>
      <c r="G672" s="0" t="str">
        <f aca="false">TEXT(B672,"MMM YYYY")</f>
        <v>Nov 2025</v>
      </c>
    </row>
    <row r="673" customFormat="false" ht="15" hidden="false" customHeight="false" outlineLevel="0" collapsed="false">
      <c r="A673" s="0" t="s">
        <v>2049</v>
      </c>
      <c r="B673" s="4" t="n">
        <v>45990</v>
      </c>
      <c r="C673" s="0" t="s">
        <v>366</v>
      </c>
      <c r="D673" s="0" t="n">
        <v>2</v>
      </c>
      <c r="E673" s="0" t="s">
        <v>2050</v>
      </c>
      <c r="F673" s="3" t="n">
        <f aca="false">D673*_xlfn.XLOOKUP(C673,Item_Master!A:A,Item_Master!G:G)</f>
        <v>5460</v>
      </c>
      <c r="G673" s="0" t="str">
        <f aca="false">TEXT(B673,"MMM YYYY")</f>
        <v>Nov 2025</v>
      </c>
    </row>
    <row r="674" customFormat="false" ht="15" hidden="false" customHeight="false" outlineLevel="0" collapsed="false">
      <c r="A674" s="0" t="s">
        <v>2051</v>
      </c>
      <c r="B674" s="4" t="n">
        <v>45990</v>
      </c>
      <c r="C674" s="0" t="s">
        <v>444</v>
      </c>
      <c r="D674" s="0" t="n">
        <v>12</v>
      </c>
      <c r="E674" s="0" t="s">
        <v>2052</v>
      </c>
      <c r="F674" s="3" t="n">
        <f aca="false">D674*_xlfn.XLOOKUP(C674,Item_Master!A:A,Item_Master!G:G)</f>
        <v>11280</v>
      </c>
      <c r="G674" s="0" t="str">
        <f aca="false">TEXT(B674,"MMM YYYY")</f>
        <v>Nov 2025</v>
      </c>
    </row>
    <row r="675" customFormat="false" ht="15" hidden="false" customHeight="false" outlineLevel="0" collapsed="false">
      <c r="A675" s="0" t="s">
        <v>2053</v>
      </c>
      <c r="B675" s="4" t="n">
        <v>45990</v>
      </c>
      <c r="C675" s="0" t="s">
        <v>459</v>
      </c>
      <c r="D675" s="0" t="n">
        <v>2</v>
      </c>
      <c r="E675" s="0" t="s">
        <v>2054</v>
      </c>
      <c r="F675" s="3" t="n">
        <f aca="false">D675*_xlfn.XLOOKUP(C675,Item_Master!A:A,Item_Master!G:G)</f>
        <v>17540</v>
      </c>
      <c r="G675" s="0" t="str">
        <f aca="false">TEXT(B675,"MMM YYYY")</f>
        <v>Nov 2025</v>
      </c>
    </row>
    <row r="676" customFormat="false" ht="15" hidden="false" customHeight="false" outlineLevel="0" collapsed="false">
      <c r="A676" s="0" t="s">
        <v>2055</v>
      </c>
      <c r="B676" s="4" t="n">
        <v>45990</v>
      </c>
      <c r="C676" s="0" t="s">
        <v>531</v>
      </c>
      <c r="D676" s="0" t="n">
        <v>35</v>
      </c>
      <c r="E676" s="0" t="s">
        <v>2056</v>
      </c>
      <c r="F676" s="3" t="n">
        <f aca="false">D676*_xlfn.XLOOKUP(C676,Item_Master!A:A,Item_Master!G:G)</f>
        <v>56700</v>
      </c>
      <c r="G676" s="0" t="str">
        <f aca="false">TEXT(B676,"MMM YYYY")</f>
        <v>Nov 2025</v>
      </c>
    </row>
    <row r="677" customFormat="false" ht="15" hidden="false" customHeight="false" outlineLevel="0" collapsed="false">
      <c r="A677" s="0" t="s">
        <v>2057</v>
      </c>
      <c r="B677" s="4" t="n">
        <v>45990</v>
      </c>
      <c r="C677" s="0" t="s">
        <v>559</v>
      </c>
      <c r="D677" s="0" t="n">
        <v>13</v>
      </c>
      <c r="E677" s="0" t="s">
        <v>2058</v>
      </c>
      <c r="F677" s="3" t="n">
        <f aca="false">D677*_xlfn.XLOOKUP(C677,Item_Master!A:A,Item_Master!G:G)</f>
        <v>115310</v>
      </c>
      <c r="G677" s="0" t="str">
        <f aca="false">TEXT(B677,"MMM YYYY")</f>
        <v>Nov 2025</v>
      </c>
    </row>
    <row r="678" customFormat="false" ht="15" hidden="false" customHeight="false" outlineLevel="0" collapsed="false">
      <c r="A678" s="0" t="s">
        <v>2059</v>
      </c>
      <c r="B678" s="4" t="n">
        <v>45991</v>
      </c>
      <c r="C678" s="0" t="s">
        <v>136</v>
      </c>
      <c r="D678" s="0" t="n">
        <v>40</v>
      </c>
      <c r="E678" s="0" t="s">
        <v>2060</v>
      </c>
      <c r="F678" s="3" t="n">
        <f aca="false">D678*_xlfn.XLOOKUP(C678,Item_Master!A:A,Item_Master!G:G)</f>
        <v>59600</v>
      </c>
      <c r="G678" s="0" t="str">
        <f aca="false">TEXT(B678,"MMM YYYY")</f>
        <v>Nov 2025</v>
      </c>
    </row>
    <row r="679" customFormat="false" ht="15" hidden="false" customHeight="false" outlineLevel="0" collapsed="false">
      <c r="A679" s="0" t="s">
        <v>2061</v>
      </c>
      <c r="B679" s="4" t="n">
        <v>45991</v>
      </c>
      <c r="C679" s="0" t="s">
        <v>172</v>
      </c>
      <c r="D679" s="0" t="n">
        <v>4</v>
      </c>
      <c r="E679" s="0" t="s">
        <v>2062</v>
      </c>
      <c r="F679" s="3" t="n">
        <f aca="false">D679*_xlfn.XLOOKUP(C679,Item_Master!A:A,Item_Master!G:G)</f>
        <v>13200</v>
      </c>
      <c r="G679" s="0" t="str">
        <f aca="false">TEXT(B679,"MMM YYYY")</f>
        <v>Nov 2025</v>
      </c>
    </row>
    <row r="680" customFormat="false" ht="15" hidden="false" customHeight="false" outlineLevel="0" collapsed="false">
      <c r="A680" s="0" t="s">
        <v>2063</v>
      </c>
      <c r="B680" s="4" t="n">
        <v>45991</v>
      </c>
      <c r="C680" s="0" t="s">
        <v>178</v>
      </c>
      <c r="D680" s="0" t="n">
        <v>3</v>
      </c>
      <c r="E680" s="0" t="s">
        <v>2064</v>
      </c>
      <c r="F680" s="3" t="n">
        <f aca="false">D680*_xlfn.XLOOKUP(C680,Item_Master!A:A,Item_Master!G:G)</f>
        <v>3930</v>
      </c>
      <c r="G680" s="0" t="str">
        <f aca="false">TEXT(B680,"MMM YYYY")</f>
        <v>Nov 2025</v>
      </c>
    </row>
    <row r="681" customFormat="false" ht="15" hidden="false" customHeight="false" outlineLevel="0" collapsed="false">
      <c r="A681" s="0" t="s">
        <v>2065</v>
      </c>
      <c r="B681" s="4" t="n">
        <v>45991</v>
      </c>
      <c r="C681" s="0" t="s">
        <v>191</v>
      </c>
      <c r="D681" s="0" t="n">
        <v>29</v>
      </c>
      <c r="E681" s="0" t="s">
        <v>2066</v>
      </c>
      <c r="F681" s="3" t="n">
        <f aca="false">D681*_xlfn.XLOOKUP(C681,Item_Master!A:A,Item_Master!G:G)</f>
        <v>332920</v>
      </c>
      <c r="G681" s="0" t="str">
        <f aca="false">TEXT(B681,"MMM YYYY")</f>
        <v>Nov 2025</v>
      </c>
    </row>
    <row r="682" customFormat="false" ht="15" hidden="false" customHeight="false" outlineLevel="0" collapsed="false">
      <c r="A682" s="0" t="s">
        <v>2067</v>
      </c>
      <c r="B682" s="4" t="n">
        <v>45991</v>
      </c>
      <c r="C682" s="0" t="s">
        <v>237</v>
      </c>
      <c r="D682" s="0" t="n">
        <v>36</v>
      </c>
      <c r="E682" s="0" t="s">
        <v>2068</v>
      </c>
      <c r="F682" s="3" t="n">
        <f aca="false">D682*_xlfn.XLOOKUP(C682,Item_Master!A:A,Item_Master!G:G)</f>
        <v>25920</v>
      </c>
      <c r="G682" s="0" t="str">
        <f aca="false">TEXT(B682,"MMM YYYY")</f>
        <v>Nov 2025</v>
      </c>
    </row>
    <row r="683" customFormat="false" ht="15" hidden="false" customHeight="false" outlineLevel="0" collapsed="false">
      <c r="A683" s="0" t="s">
        <v>2069</v>
      </c>
      <c r="B683" s="4" t="n">
        <v>45991</v>
      </c>
      <c r="C683" s="0" t="s">
        <v>407</v>
      </c>
      <c r="D683" s="0" t="n">
        <v>1</v>
      </c>
      <c r="E683" s="0" t="s">
        <v>2070</v>
      </c>
      <c r="F683" s="3" t="n">
        <f aca="false">D683*_xlfn.XLOOKUP(C683,Item_Master!A:A,Item_Master!G:G)</f>
        <v>210</v>
      </c>
      <c r="G683" s="0" t="str">
        <f aca="false">TEXT(B683,"MMM YYYY")</f>
        <v>Nov 2025</v>
      </c>
    </row>
    <row r="684" customFormat="false" ht="15" hidden="false" customHeight="false" outlineLevel="0" collapsed="false">
      <c r="A684" s="0" t="s">
        <v>2071</v>
      </c>
      <c r="B684" s="4" t="n">
        <v>45991</v>
      </c>
      <c r="C684" s="0" t="s">
        <v>415</v>
      </c>
      <c r="D684" s="0" t="n">
        <v>24</v>
      </c>
      <c r="E684" s="0" t="s">
        <v>2072</v>
      </c>
      <c r="F684" s="3" t="n">
        <f aca="false">D684*_xlfn.XLOOKUP(C684,Item_Master!A:A,Item_Master!G:G)</f>
        <v>31920</v>
      </c>
      <c r="G684" s="0" t="str">
        <f aca="false">TEXT(B684,"MMM YYYY")</f>
        <v>Nov 2025</v>
      </c>
    </row>
    <row r="685" customFormat="false" ht="15" hidden="false" customHeight="false" outlineLevel="0" collapsed="false">
      <c r="A685" s="0" t="s">
        <v>2073</v>
      </c>
      <c r="B685" s="4" t="n">
        <v>45991</v>
      </c>
      <c r="C685" s="0" t="s">
        <v>493</v>
      </c>
      <c r="D685" s="0" t="n">
        <v>12</v>
      </c>
      <c r="E685" s="0" t="s">
        <v>2074</v>
      </c>
      <c r="F685" s="3" t="n">
        <f aca="false">D685*_xlfn.XLOOKUP(C685,Item_Master!A:A,Item_Master!G:G)</f>
        <v>5640</v>
      </c>
      <c r="G685" s="0" t="str">
        <f aca="false">TEXT(B685,"MMM YYYY")</f>
        <v>Nov 2025</v>
      </c>
    </row>
    <row r="686" customFormat="false" ht="15" hidden="false" customHeight="false" outlineLevel="0" collapsed="false">
      <c r="A686" s="0" t="s">
        <v>2075</v>
      </c>
      <c r="B686" s="4" t="n">
        <v>45991</v>
      </c>
      <c r="C686" s="0" t="s">
        <v>586</v>
      </c>
      <c r="D686" s="0" t="n">
        <v>3</v>
      </c>
      <c r="E686" s="0" t="s">
        <v>2076</v>
      </c>
      <c r="F686" s="3" t="n">
        <f aca="false">D686*_xlfn.XLOOKUP(C686,Item_Master!A:A,Item_Master!G:G)</f>
        <v>5100</v>
      </c>
      <c r="G686" s="0" t="str">
        <f aca="false">TEXT(B686,"MMM YYYY")</f>
        <v>Nov 2025</v>
      </c>
    </row>
    <row r="687" customFormat="false" ht="15" hidden="false" customHeight="false" outlineLevel="0" collapsed="false">
      <c r="A687" s="0" t="s">
        <v>2077</v>
      </c>
      <c r="B687" s="4" t="n">
        <v>45991</v>
      </c>
      <c r="C687" s="0" t="s">
        <v>592</v>
      </c>
      <c r="D687" s="0" t="n">
        <v>6</v>
      </c>
      <c r="E687" s="0" t="s">
        <v>2078</v>
      </c>
      <c r="F687" s="3" t="n">
        <f aca="false">D687*_xlfn.XLOOKUP(C687,Item_Master!A:A,Item_Master!G:G)</f>
        <v>19140</v>
      </c>
      <c r="G687" s="0" t="str">
        <f aca="false">TEXT(B687,"MMM YYYY")</f>
        <v>Nov 2025</v>
      </c>
    </row>
    <row r="688" customFormat="false" ht="15" hidden="false" customHeight="false" outlineLevel="0" collapsed="false">
      <c r="A688" s="0" t="s">
        <v>2079</v>
      </c>
      <c r="B688" s="4" t="n">
        <v>45992</v>
      </c>
      <c r="C688" s="0" t="s">
        <v>98</v>
      </c>
      <c r="D688" s="0" t="n">
        <v>29</v>
      </c>
      <c r="E688" s="0" t="s">
        <v>2080</v>
      </c>
      <c r="F688" s="3" t="n">
        <f aca="false">D688*_xlfn.XLOOKUP(C688,Item_Master!A:A,Item_Master!G:G)</f>
        <v>28710</v>
      </c>
      <c r="G688" s="0" t="str">
        <f aca="false">TEXT(B688,"MMM YYYY")</f>
        <v>Dec 2025</v>
      </c>
    </row>
    <row r="689" customFormat="false" ht="15" hidden="false" customHeight="false" outlineLevel="0" collapsed="false">
      <c r="A689" s="0" t="s">
        <v>2081</v>
      </c>
      <c r="B689" s="4" t="n">
        <v>45992</v>
      </c>
      <c r="C689" s="0" t="s">
        <v>148</v>
      </c>
      <c r="D689" s="0" t="n">
        <v>10</v>
      </c>
      <c r="E689" s="0" t="s">
        <v>2082</v>
      </c>
      <c r="F689" s="3" t="n">
        <f aca="false">D689*_xlfn.XLOOKUP(C689,Item_Master!A:A,Item_Master!G:G)</f>
        <v>4300</v>
      </c>
      <c r="G689" s="0" t="str">
        <f aca="false">TEXT(B689,"MMM YYYY")</f>
        <v>Dec 2025</v>
      </c>
    </row>
    <row r="690" customFormat="false" ht="15" hidden="false" customHeight="false" outlineLevel="0" collapsed="false">
      <c r="A690" s="0" t="s">
        <v>2083</v>
      </c>
      <c r="B690" s="4" t="n">
        <v>45992</v>
      </c>
      <c r="C690" s="0" t="s">
        <v>204</v>
      </c>
      <c r="D690" s="0" t="n">
        <v>17</v>
      </c>
      <c r="E690" s="0" t="s">
        <v>2084</v>
      </c>
      <c r="F690" s="3" t="n">
        <f aca="false">D690*_xlfn.XLOOKUP(C690,Item_Master!A:A,Item_Master!G:G)</f>
        <v>23970</v>
      </c>
      <c r="G690" s="0" t="str">
        <f aca="false">TEXT(B690,"MMM YYYY")</f>
        <v>Dec 2025</v>
      </c>
    </row>
    <row r="691" customFormat="false" ht="15" hidden="false" customHeight="false" outlineLevel="0" collapsed="false">
      <c r="A691" s="0" t="s">
        <v>2085</v>
      </c>
      <c r="B691" s="4" t="n">
        <v>45992</v>
      </c>
      <c r="C691" s="0" t="s">
        <v>212</v>
      </c>
      <c r="D691" s="0" t="n">
        <v>33</v>
      </c>
      <c r="E691" s="0" t="s">
        <v>2086</v>
      </c>
      <c r="F691" s="3" t="n">
        <f aca="false">D691*_xlfn.XLOOKUP(C691,Item_Master!A:A,Item_Master!G:G)</f>
        <v>140580</v>
      </c>
      <c r="G691" s="0" t="str">
        <f aca="false">TEXT(B691,"MMM YYYY")</f>
        <v>Dec 2025</v>
      </c>
    </row>
    <row r="692" customFormat="false" ht="15" hidden="false" customHeight="false" outlineLevel="0" collapsed="false">
      <c r="A692" s="0" t="s">
        <v>2087</v>
      </c>
      <c r="B692" s="4" t="n">
        <v>45992</v>
      </c>
      <c r="C692" s="0" t="s">
        <v>253</v>
      </c>
      <c r="D692" s="0" t="n">
        <v>8</v>
      </c>
      <c r="E692" s="0" t="s">
        <v>2088</v>
      </c>
      <c r="F692" s="3" t="n">
        <f aca="false">D692*_xlfn.XLOOKUP(C692,Item_Master!A:A,Item_Master!G:G)</f>
        <v>28720</v>
      </c>
      <c r="G692" s="0" t="str">
        <f aca="false">TEXT(B692,"MMM YYYY")</f>
        <v>Dec 2025</v>
      </c>
    </row>
    <row r="693" customFormat="false" ht="15" hidden="false" customHeight="false" outlineLevel="0" collapsed="false">
      <c r="A693" s="0" t="s">
        <v>2089</v>
      </c>
      <c r="B693" s="4" t="n">
        <v>45992</v>
      </c>
      <c r="C693" s="0" t="s">
        <v>262</v>
      </c>
      <c r="D693" s="0" t="n">
        <v>40</v>
      </c>
      <c r="E693" s="0" t="s">
        <v>2090</v>
      </c>
      <c r="F693" s="3" t="n">
        <f aca="false">D693*_xlfn.XLOOKUP(C693,Item_Master!A:A,Item_Master!G:G)</f>
        <v>87600</v>
      </c>
      <c r="G693" s="0" t="str">
        <f aca="false">TEXT(B693,"MMM YYYY")</f>
        <v>Dec 2025</v>
      </c>
    </row>
    <row r="694" customFormat="false" ht="15" hidden="false" customHeight="false" outlineLevel="0" collapsed="false">
      <c r="A694" s="0" t="s">
        <v>2091</v>
      </c>
      <c r="B694" s="4" t="n">
        <v>45992</v>
      </c>
      <c r="C694" s="0" t="s">
        <v>263</v>
      </c>
      <c r="D694" s="0" t="n">
        <v>23</v>
      </c>
      <c r="E694" s="0" t="s">
        <v>2092</v>
      </c>
      <c r="F694" s="3" t="n">
        <f aca="false">D694*_xlfn.XLOOKUP(C694,Item_Master!A:A,Item_Master!G:G)</f>
        <v>298540</v>
      </c>
      <c r="G694" s="0" t="str">
        <f aca="false">TEXT(B694,"MMM YYYY")</f>
        <v>Dec 2025</v>
      </c>
    </row>
    <row r="695" customFormat="false" ht="15" hidden="false" customHeight="false" outlineLevel="0" collapsed="false">
      <c r="A695" s="0" t="s">
        <v>2093</v>
      </c>
      <c r="B695" s="4" t="n">
        <v>45992</v>
      </c>
      <c r="C695" s="0" t="s">
        <v>281</v>
      </c>
      <c r="D695" s="0" t="n">
        <v>5</v>
      </c>
      <c r="E695" s="0" t="s">
        <v>2094</v>
      </c>
      <c r="F695" s="3" t="n">
        <f aca="false">D695*_xlfn.XLOOKUP(C695,Item_Master!A:A,Item_Master!G:G)</f>
        <v>3850</v>
      </c>
      <c r="G695" s="0" t="str">
        <f aca="false">TEXT(B695,"MMM YYYY")</f>
        <v>Dec 2025</v>
      </c>
    </row>
    <row r="696" customFormat="false" ht="15" hidden="false" customHeight="false" outlineLevel="0" collapsed="false">
      <c r="A696" s="0" t="s">
        <v>2095</v>
      </c>
      <c r="B696" s="4" t="n">
        <v>45992</v>
      </c>
      <c r="C696" s="0" t="s">
        <v>399</v>
      </c>
      <c r="D696" s="0" t="n">
        <v>1</v>
      </c>
      <c r="E696" s="0" t="s">
        <v>2096</v>
      </c>
      <c r="F696" s="3" t="n">
        <f aca="false">D696*_xlfn.XLOOKUP(C696,Item_Master!A:A,Item_Master!G:G)</f>
        <v>12110</v>
      </c>
      <c r="G696" s="0" t="str">
        <f aca="false">TEXT(B696,"MMM YYYY")</f>
        <v>Dec 2025</v>
      </c>
    </row>
    <row r="697" customFormat="false" ht="15" hidden="false" customHeight="false" outlineLevel="0" collapsed="false">
      <c r="A697" s="0" t="s">
        <v>2097</v>
      </c>
      <c r="B697" s="4" t="n">
        <v>45992</v>
      </c>
      <c r="C697" s="0" t="s">
        <v>426</v>
      </c>
      <c r="D697" s="0" t="n">
        <v>25</v>
      </c>
      <c r="E697" s="0" t="s">
        <v>2098</v>
      </c>
      <c r="F697" s="3" t="n">
        <f aca="false">D697*_xlfn.XLOOKUP(C697,Item_Master!A:A,Item_Master!G:G)</f>
        <v>66750</v>
      </c>
      <c r="G697" s="0" t="str">
        <f aca="false">TEXT(B697,"MMM YYYY")</f>
        <v>Dec 2025</v>
      </c>
    </row>
    <row r="698" customFormat="false" ht="15" hidden="false" customHeight="false" outlineLevel="0" collapsed="false">
      <c r="A698" s="0" t="s">
        <v>2099</v>
      </c>
      <c r="B698" s="4" t="n">
        <v>45992</v>
      </c>
      <c r="C698" s="0" t="s">
        <v>486</v>
      </c>
      <c r="D698" s="0" t="n">
        <v>16</v>
      </c>
      <c r="E698" s="0" t="s">
        <v>2100</v>
      </c>
      <c r="F698" s="3" t="n">
        <f aca="false">D698*_xlfn.XLOOKUP(C698,Item_Master!A:A,Item_Master!G:G)</f>
        <v>27200</v>
      </c>
      <c r="G698" s="0" t="str">
        <f aca="false">TEXT(B698,"MMM YYYY")</f>
        <v>Dec 2025</v>
      </c>
    </row>
    <row r="699" customFormat="false" ht="15" hidden="false" customHeight="false" outlineLevel="0" collapsed="false">
      <c r="A699" s="0" t="s">
        <v>2101</v>
      </c>
      <c r="B699" s="4" t="n">
        <v>45992</v>
      </c>
      <c r="C699" s="0" t="s">
        <v>529</v>
      </c>
      <c r="D699" s="0" t="n">
        <v>9</v>
      </c>
      <c r="E699" s="0" t="s">
        <v>2102</v>
      </c>
      <c r="F699" s="3" t="n">
        <f aca="false">D699*_xlfn.XLOOKUP(C699,Item_Master!A:A,Item_Master!G:G)</f>
        <v>105840</v>
      </c>
      <c r="G699" s="0" t="str">
        <f aca="false">TEXT(B699,"MMM YYYY")</f>
        <v>Dec 2025</v>
      </c>
    </row>
    <row r="700" customFormat="false" ht="15" hidden="false" customHeight="false" outlineLevel="0" collapsed="false">
      <c r="A700" s="0" t="s">
        <v>2103</v>
      </c>
      <c r="B700" s="4" t="n">
        <v>45992</v>
      </c>
      <c r="C700" s="0" t="s">
        <v>579</v>
      </c>
      <c r="D700" s="0" t="n">
        <v>31</v>
      </c>
      <c r="E700" s="0" t="s">
        <v>2104</v>
      </c>
      <c r="F700" s="3" t="n">
        <f aca="false">D700*_xlfn.XLOOKUP(C700,Item_Master!A:A,Item_Master!G:G)</f>
        <v>58280</v>
      </c>
      <c r="G700" s="0" t="str">
        <f aca="false">TEXT(B700,"MMM YYYY")</f>
        <v>Dec 2025</v>
      </c>
    </row>
    <row r="701" customFormat="false" ht="15" hidden="false" customHeight="false" outlineLevel="0" collapsed="false">
      <c r="A701" s="0" t="s">
        <v>2105</v>
      </c>
      <c r="B701" s="4" t="n">
        <v>45992</v>
      </c>
      <c r="C701" s="0" t="s">
        <v>669</v>
      </c>
      <c r="D701" s="0" t="n">
        <v>6</v>
      </c>
      <c r="E701" s="0" t="s">
        <v>2106</v>
      </c>
      <c r="F701" s="3" t="n">
        <f aca="false">D701*_xlfn.XLOOKUP(C701,Item_Master!A:A,Item_Master!G:G)</f>
        <v>14220</v>
      </c>
      <c r="G701" s="0" t="str">
        <f aca="false">TEXT(B701,"MMM YYYY")</f>
        <v>Dec 2025</v>
      </c>
    </row>
    <row r="702" customFormat="false" ht="15" hidden="false" customHeight="false" outlineLevel="0" collapsed="false">
      <c r="A702" s="0" t="s">
        <v>2107</v>
      </c>
      <c r="B702" s="4" t="n">
        <v>45993</v>
      </c>
      <c r="C702" s="0" t="s">
        <v>120</v>
      </c>
      <c r="D702" s="0" t="n">
        <v>22</v>
      </c>
      <c r="E702" s="0" t="s">
        <v>2108</v>
      </c>
      <c r="F702" s="3" t="n">
        <f aca="false">D702*_xlfn.XLOOKUP(C702,Item_Master!A:A,Item_Master!G:G)</f>
        <v>5720</v>
      </c>
      <c r="G702" s="0" t="str">
        <f aca="false">TEXT(B702,"MMM YYYY")</f>
        <v>Dec 2025</v>
      </c>
    </row>
    <row r="703" customFormat="false" ht="15" hidden="false" customHeight="false" outlineLevel="0" collapsed="false">
      <c r="A703" s="0" t="s">
        <v>2109</v>
      </c>
      <c r="B703" s="4" t="n">
        <v>45993</v>
      </c>
      <c r="C703" s="0" t="s">
        <v>165</v>
      </c>
      <c r="D703" s="0" t="n">
        <v>1</v>
      </c>
      <c r="E703" s="0" t="s">
        <v>2110</v>
      </c>
      <c r="F703" s="3" t="n">
        <f aca="false">D703*_xlfn.XLOOKUP(C703,Item_Master!A:A,Item_Master!G:G)</f>
        <v>970</v>
      </c>
      <c r="G703" s="0" t="str">
        <f aca="false">TEXT(B703,"MMM YYYY")</f>
        <v>Dec 2025</v>
      </c>
    </row>
    <row r="704" customFormat="false" ht="15" hidden="false" customHeight="false" outlineLevel="0" collapsed="false">
      <c r="A704" s="0" t="s">
        <v>2111</v>
      </c>
      <c r="B704" s="4" t="n">
        <v>45993</v>
      </c>
      <c r="C704" s="0" t="s">
        <v>187</v>
      </c>
      <c r="D704" s="0" t="n">
        <v>22</v>
      </c>
      <c r="E704" s="0" t="s">
        <v>2112</v>
      </c>
      <c r="F704" s="3" t="n">
        <f aca="false">D704*_xlfn.XLOOKUP(C704,Item_Master!A:A,Item_Master!G:G)</f>
        <v>15400</v>
      </c>
      <c r="G704" s="0" t="str">
        <f aca="false">TEXT(B704,"MMM YYYY")</f>
        <v>Dec 2025</v>
      </c>
    </row>
    <row r="705" customFormat="false" ht="15" hidden="false" customHeight="false" outlineLevel="0" collapsed="false">
      <c r="A705" s="0" t="s">
        <v>2113</v>
      </c>
      <c r="B705" s="4" t="n">
        <v>45993</v>
      </c>
      <c r="C705" s="0" t="s">
        <v>239</v>
      </c>
      <c r="D705" s="0" t="n">
        <v>19</v>
      </c>
      <c r="E705" s="0" t="s">
        <v>2114</v>
      </c>
      <c r="F705" s="3" t="n">
        <f aca="false">D705*_xlfn.XLOOKUP(C705,Item_Master!A:A,Item_Master!G:G)</f>
        <v>33250</v>
      </c>
      <c r="G705" s="0" t="str">
        <f aca="false">TEXT(B705,"MMM YYYY")</f>
        <v>Dec 2025</v>
      </c>
    </row>
    <row r="706" customFormat="false" ht="15" hidden="false" customHeight="false" outlineLevel="0" collapsed="false">
      <c r="A706" s="0" t="s">
        <v>2115</v>
      </c>
      <c r="B706" s="4" t="n">
        <v>45993</v>
      </c>
      <c r="C706" s="0" t="s">
        <v>382</v>
      </c>
      <c r="D706" s="0" t="n">
        <v>5</v>
      </c>
      <c r="E706" s="0" t="s">
        <v>2116</v>
      </c>
      <c r="F706" s="3" t="n">
        <f aca="false">D706*_xlfn.XLOOKUP(C706,Item_Master!A:A,Item_Master!G:G)</f>
        <v>10300</v>
      </c>
      <c r="G706" s="0" t="str">
        <f aca="false">TEXT(B706,"MMM YYYY")</f>
        <v>Dec 2025</v>
      </c>
    </row>
    <row r="707" customFormat="false" ht="15" hidden="false" customHeight="false" outlineLevel="0" collapsed="false">
      <c r="A707" s="0" t="s">
        <v>2117</v>
      </c>
      <c r="B707" s="4" t="n">
        <v>45993</v>
      </c>
      <c r="C707" s="0" t="s">
        <v>424</v>
      </c>
      <c r="D707" s="0" t="n">
        <v>35</v>
      </c>
      <c r="E707" s="0" t="s">
        <v>2118</v>
      </c>
      <c r="F707" s="3" t="n">
        <f aca="false">D707*_xlfn.XLOOKUP(C707,Item_Master!A:A,Item_Master!G:G)</f>
        <v>86100</v>
      </c>
      <c r="G707" s="0" t="str">
        <f aca="false">TEXT(B707,"MMM YYYY")</f>
        <v>Dec 2025</v>
      </c>
    </row>
    <row r="708" customFormat="false" ht="15" hidden="false" customHeight="false" outlineLevel="0" collapsed="false">
      <c r="A708" s="0" t="s">
        <v>2119</v>
      </c>
      <c r="B708" s="4" t="n">
        <v>45993</v>
      </c>
      <c r="C708" s="0" t="s">
        <v>438</v>
      </c>
      <c r="D708" s="0" t="n">
        <v>38</v>
      </c>
      <c r="E708" s="0" t="s">
        <v>2120</v>
      </c>
      <c r="F708" s="3" t="n">
        <f aca="false">D708*_xlfn.XLOOKUP(C708,Item_Master!A:A,Item_Master!G:G)</f>
        <v>7600</v>
      </c>
      <c r="G708" s="0" t="str">
        <f aca="false">TEXT(B708,"MMM YYYY")</f>
        <v>Dec 2025</v>
      </c>
    </row>
    <row r="709" customFormat="false" ht="15" hidden="false" customHeight="false" outlineLevel="0" collapsed="false">
      <c r="A709" s="0" t="s">
        <v>2121</v>
      </c>
      <c r="B709" s="4" t="n">
        <v>45993</v>
      </c>
      <c r="C709" s="0" t="s">
        <v>461</v>
      </c>
      <c r="D709" s="0" t="n">
        <v>31</v>
      </c>
      <c r="E709" s="0" t="s">
        <v>2122</v>
      </c>
      <c r="F709" s="3" t="n">
        <f aca="false">D709*_xlfn.XLOOKUP(C709,Item_Master!A:A,Item_Master!G:G)</f>
        <v>47430</v>
      </c>
      <c r="G709" s="0" t="str">
        <f aca="false">TEXT(B709,"MMM YYYY")</f>
        <v>Dec 2025</v>
      </c>
    </row>
    <row r="710" customFormat="false" ht="15" hidden="false" customHeight="false" outlineLevel="0" collapsed="false">
      <c r="A710" s="0" t="s">
        <v>2123</v>
      </c>
      <c r="B710" s="4" t="n">
        <v>45993</v>
      </c>
      <c r="C710" s="0" t="s">
        <v>492</v>
      </c>
      <c r="D710" s="0" t="n">
        <v>9</v>
      </c>
      <c r="E710" s="0" t="s">
        <v>2124</v>
      </c>
      <c r="F710" s="3" t="n">
        <f aca="false">D710*_xlfn.XLOOKUP(C710,Item_Master!A:A,Item_Master!G:G)</f>
        <v>3150</v>
      </c>
      <c r="G710" s="0" t="str">
        <f aca="false">TEXT(B710,"MMM YYYY")</f>
        <v>Dec 2025</v>
      </c>
    </row>
    <row r="711" customFormat="false" ht="15" hidden="false" customHeight="false" outlineLevel="0" collapsed="false">
      <c r="A711" s="0" t="s">
        <v>2125</v>
      </c>
      <c r="B711" s="4" t="n">
        <v>45993</v>
      </c>
      <c r="C711" s="0" t="s">
        <v>603</v>
      </c>
      <c r="D711" s="0" t="n">
        <v>32</v>
      </c>
      <c r="E711" s="0" t="s">
        <v>2126</v>
      </c>
      <c r="F711" s="3" t="n">
        <f aca="false">D711*_xlfn.XLOOKUP(C711,Item_Master!A:A,Item_Master!G:G)</f>
        <v>14400</v>
      </c>
      <c r="G711" s="0" t="str">
        <f aca="false">TEXT(B711,"MMM YYYY")</f>
        <v>Dec 2025</v>
      </c>
    </row>
    <row r="712" customFormat="false" ht="15" hidden="false" customHeight="false" outlineLevel="0" collapsed="false">
      <c r="A712" s="0" t="s">
        <v>2127</v>
      </c>
      <c r="B712" s="4" t="n">
        <v>45993</v>
      </c>
      <c r="C712" s="0" t="s">
        <v>635</v>
      </c>
      <c r="D712" s="0" t="n">
        <v>23</v>
      </c>
      <c r="E712" s="0" t="s">
        <v>2128</v>
      </c>
      <c r="F712" s="3" t="n">
        <f aca="false">D712*_xlfn.XLOOKUP(C712,Item_Master!A:A,Item_Master!G:G)</f>
        <v>487830</v>
      </c>
      <c r="G712" s="0" t="str">
        <f aca="false">TEXT(B712,"MMM YYYY")</f>
        <v>Dec 2025</v>
      </c>
    </row>
    <row r="713" customFormat="false" ht="15" hidden="false" customHeight="false" outlineLevel="0" collapsed="false">
      <c r="A713" s="0" t="s">
        <v>2129</v>
      </c>
      <c r="B713" s="4" t="n">
        <v>45993</v>
      </c>
      <c r="C713" s="0" t="s">
        <v>637</v>
      </c>
      <c r="D713" s="0" t="n">
        <v>11</v>
      </c>
      <c r="E713" s="0" t="s">
        <v>2130</v>
      </c>
      <c r="F713" s="3" t="n">
        <f aca="false">D713*_xlfn.XLOOKUP(C713,Item_Master!A:A,Item_Master!G:G)</f>
        <v>5610</v>
      </c>
      <c r="G713" s="0" t="str">
        <f aca="false">TEXT(B713,"MMM YYYY")</f>
        <v>Dec 2025</v>
      </c>
    </row>
    <row r="714" customFormat="false" ht="15" hidden="false" customHeight="false" outlineLevel="0" collapsed="false">
      <c r="A714" s="0" t="s">
        <v>2131</v>
      </c>
      <c r="B714" s="4" t="n">
        <v>45994</v>
      </c>
      <c r="C714" s="0" t="s">
        <v>44</v>
      </c>
      <c r="D714" s="0" t="n">
        <v>1</v>
      </c>
      <c r="E714" s="0" t="s">
        <v>2132</v>
      </c>
      <c r="F714" s="3" t="n">
        <f aca="false">D714*_xlfn.XLOOKUP(C714,Item_Master!A:A,Item_Master!G:G)</f>
        <v>1630</v>
      </c>
      <c r="G714" s="0" t="str">
        <f aca="false">TEXT(B714,"MMM YYYY")</f>
        <v>Dec 2025</v>
      </c>
    </row>
    <row r="715" customFormat="false" ht="15" hidden="false" customHeight="false" outlineLevel="0" collapsed="false">
      <c r="A715" s="0" t="s">
        <v>2133</v>
      </c>
      <c r="B715" s="4" t="n">
        <v>45994</v>
      </c>
      <c r="C715" s="0" t="s">
        <v>142</v>
      </c>
      <c r="D715" s="0" t="n">
        <v>13</v>
      </c>
      <c r="E715" s="0" t="s">
        <v>2134</v>
      </c>
      <c r="F715" s="3" t="n">
        <f aca="false">D715*_xlfn.XLOOKUP(C715,Item_Master!A:A,Item_Master!G:G)</f>
        <v>17940</v>
      </c>
      <c r="G715" s="0" t="str">
        <f aca="false">TEXT(B715,"MMM YYYY")</f>
        <v>Dec 2025</v>
      </c>
    </row>
    <row r="716" customFormat="false" ht="15" hidden="false" customHeight="false" outlineLevel="0" collapsed="false">
      <c r="A716" s="0" t="s">
        <v>2135</v>
      </c>
      <c r="B716" s="4" t="n">
        <v>45994</v>
      </c>
      <c r="C716" s="0" t="s">
        <v>219</v>
      </c>
      <c r="D716" s="0" t="n">
        <v>27</v>
      </c>
      <c r="E716" s="0" t="s">
        <v>2136</v>
      </c>
      <c r="F716" s="3" t="n">
        <f aca="false">D716*_xlfn.XLOOKUP(C716,Item_Master!A:A,Item_Master!G:G)</f>
        <v>32940</v>
      </c>
      <c r="G716" s="0" t="str">
        <f aca="false">TEXT(B716,"MMM YYYY")</f>
        <v>Dec 2025</v>
      </c>
    </row>
    <row r="717" customFormat="false" ht="15" hidden="false" customHeight="false" outlineLevel="0" collapsed="false">
      <c r="A717" s="0" t="s">
        <v>2137</v>
      </c>
      <c r="B717" s="4" t="n">
        <v>45994</v>
      </c>
      <c r="C717" s="0" t="s">
        <v>257</v>
      </c>
      <c r="D717" s="0" t="n">
        <v>3</v>
      </c>
      <c r="E717" s="0" t="s">
        <v>2138</v>
      </c>
      <c r="F717" s="3" t="n">
        <f aca="false">D717*_xlfn.XLOOKUP(C717,Item_Master!A:A,Item_Master!G:G)</f>
        <v>1500</v>
      </c>
      <c r="G717" s="0" t="str">
        <f aca="false">TEXT(B717,"MMM YYYY")</f>
        <v>Dec 2025</v>
      </c>
    </row>
    <row r="718" customFormat="false" ht="15" hidden="false" customHeight="false" outlineLevel="0" collapsed="false">
      <c r="A718" s="0" t="s">
        <v>2139</v>
      </c>
      <c r="B718" s="4" t="n">
        <v>45994</v>
      </c>
      <c r="C718" s="0" t="s">
        <v>285</v>
      </c>
      <c r="D718" s="0" t="n">
        <v>24</v>
      </c>
      <c r="E718" s="0" t="s">
        <v>2140</v>
      </c>
      <c r="F718" s="3" t="n">
        <f aca="false">D718*_xlfn.XLOOKUP(C718,Item_Master!A:A,Item_Master!G:G)</f>
        <v>23520</v>
      </c>
      <c r="G718" s="0" t="str">
        <f aca="false">TEXT(B718,"MMM YYYY")</f>
        <v>Dec 2025</v>
      </c>
    </row>
    <row r="719" customFormat="false" ht="15" hidden="false" customHeight="false" outlineLevel="0" collapsed="false">
      <c r="A719" s="0" t="s">
        <v>2141</v>
      </c>
      <c r="B719" s="4" t="n">
        <v>45994</v>
      </c>
      <c r="C719" s="0" t="s">
        <v>312</v>
      </c>
      <c r="D719" s="0" t="n">
        <v>10</v>
      </c>
      <c r="E719" s="0" t="s">
        <v>2142</v>
      </c>
      <c r="F719" s="3" t="n">
        <f aca="false">D719*_xlfn.XLOOKUP(C719,Item_Master!A:A,Item_Master!G:G)</f>
        <v>8300</v>
      </c>
      <c r="G719" s="0" t="str">
        <f aca="false">TEXT(B719,"MMM YYYY")</f>
        <v>Dec 2025</v>
      </c>
    </row>
    <row r="720" customFormat="false" ht="15" hidden="false" customHeight="false" outlineLevel="0" collapsed="false">
      <c r="A720" s="0" t="s">
        <v>2143</v>
      </c>
      <c r="B720" s="4" t="n">
        <v>45994</v>
      </c>
      <c r="C720" s="0" t="s">
        <v>322</v>
      </c>
      <c r="D720" s="0" t="n">
        <v>13</v>
      </c>
      <c r="E720" s="0" t="s">
        <v>2144</v>
      </c>
      <c r="F720" s="3" t="n">
        <f aca="false">D720*_xlfn.XLOOKUP(C720,Item_Master!A:A,Item_Master!G:G)</f>
        <v>28470</v>
      </c>
      <c r="G720" s="0" t="str">
        <f aca="false">TEXT(B720,"MMM YYYY")</f>
        <v>Dec 2025</v>
      </c>
    </row>
    <row r="721" customFormat="false" ht="15" hidden="false" customHeight="false" outlineLevel="0" collapsed="false">
      <c r="A721" s="0" t="s">
        <v>2145</v>
      </c>
      <c r="B721" s="4" t="n">
        <v>45994</v>
      </c>
      <c r="C721" s="0" t="s">
        <v>419</v>
      </c>
      <c r="D721" s="0" t="n">
        <v>17</v>
      </c>
      <c r="E721" s="0" t="s">
        <v>2146</v>
      </c>
      <c r="F721" s="3" t="n">
        <f aca="false">D721*_xlfn.XLOOKUP(C721,Item_Master!A:A,Item_Master!G:G)</f>
        <v>35190</v>
      </c>
      <c r="G721" s="0" t="str">
        <f aca="false">TEXT(B721,"MMM YYYY")</f>
        <v>Dec 2025</v>
      </c>
    </row>
    <row r="722" customFormat="false" ht="15" hidden="false" customHeight="false" outlineLevel="0" collapsed="false">
      <c r="A722" s="0" t="s">
        <v>2147</v>
      </c>
      <c r="B722" s="4" t="n">
        <v>45994</v>
      </c>
      <c r="C722" s="0" t="s">
        <v>424</v>
      </c>
      <c r="D722" s="0" t="n">
        <v>5</v>
      </c>
      <c r="E722" s="0" t="s">
        <v>2148</v>
      </c>
      <c r="F722" s="3" t="n">
        <f aca="false">D722*_xlfn.XLOOKUP(C722,Item_Master!A:A,Item_Master!G:G)</f>
        <v>12300</v>
      </c>
      <c r="G722" s="0" t="str">
        <f aca="false">TEXT(B722,"MMM YYYY")</f>
        <v>Dec 2025</v>
      </c>
    </row>
    <row r="723" customFormat="false" ht="15" hidden="false" customHeight="false" outlineLevel="0" collapsed="false">
      <c r="A723" s="0" t="s">
        <v>2149</v>
      </c>
      <c r="B723" s="4" t="n">
        <v>45994</v>
      </c>
      <c r="C723" s="0" t="s">
        <v>519</v>
      </c>
      <c r="D723" s="0" t="n">
        <v>36</v>
      </c>
      <c r="E723" s="0" t="s">
        <v>2150</v>
      </c>
      <c r="F723" s="3" t="n">
        <f aca="false">D723*_xlfn.XLOOKUP(C723,Item_Master!A:A,Item_Master!G:G)</f>
        <v>20520</v>
      </c>
      <c r="G723" s="0" t="str">
        <f aca="false">TEXT(B723,"MMM YYYY")</f>
        <v>Dec 2025</v>
      </c>
    </row>
    <row r="724" customFormat="false" ht="15" hidden="false" customHeight="false" outlineLevel="0" collapsed="false">
      <c r="A724" s="0" t="s">
        <v>2151</v>
      </c>
      <c r="B724" s="4" t="n">
        <v>45994</v>
      </c>
      <c r="C724" s="0" t="s">
        <v>537</v>
      </c>
      <c r="D724" s="0" t="n">
        <v>1</v>
      </c>
      <c r="E724" s="0" t="s">
        <v>2152</v>
      </c>
      <c r="F724" s="3" t="n">
        <f aca="false">D724*_xlfn.XLOOKUP(C724,Item_Master!A:A,Item_Master!G:G)</f>
        <v>14760</v>
      </c>
      <c r="G724" s="0" t="str">
        <f aca="false">TEXT(B724,"MMM YYYY")</f>
        <v>Dec 2025</v>
      </c>
    </row>
    <row r="725" customFormat="false" ht="15" hidden="false" customHeight="false" outlineLevel="0" collapsed="false">
      <c r="A725" s="0" t="s">
        <v>2153</v>
      </c>
      <c r="B725" s="4" t="n">
        <v>45994</v>
      </c>
      <c r="C725" s="0" t="s">
        <v>622</v>
      </c>
      <c r="D725" s="0" t="n">
        <v>7</v>
      </c>
      <c r="E725" s="0" t="s">
        <v>2154</v>
      </c>
      <c r="F725" s="3" t="n">
        <f aca="false">D725*_xlfn.XLOOKUP(C725,Item_Master!A:A,Item_Master!G:G)</f>
        <v>7770</v>
      </c>
      <c r="G725" s="0" t="str">
        <f aca="false">TEXT(B725,"MMM YYYY")</f>
        <v>Dec 2025</v>
      </c>
    </row>
    <row r="726" customFormat="false" ht="15" hidden="false" customHeight="false" outlineLevel="0" collapsed="false">
      <c r="A726" s="0" t="s">
        <v>2155</v>
      </c>
      <c r="B726" s="4" t="n">
        <v>45994</v>
      </c>
      <c r="C726" s="0" t="s">
        <v>654</v>
      </c>
      <c r="D726" s="0" t="n">
        <v>25</v>
      </c>
      <c r="E726" s="0" t="s">
        <v>2156</v>
      </c>
      <c r="F726" s="3" t="n">
        <f aca="false">D726*_xlfn.XLOOKUP(C726,Item_Master!A:A,Item_Master!G:G)</f>
        <v>45000</v>
      </c>
      <c r="G726" s="0" t="str">
        <f aca="false">TEXT(B726,"MMM YYYY")</f>
        <v>Dec 2025</v>
      </c>
    </row>
    <row r="727" customFormat="false" ht="15" hidden="false" customHeight="false" outlineLevel="0" collapsed="false">
      <c r="A727" s="0" t="s">
        <v>2157</v>
      </c>
      <c r="B727" s="4" t="n">
        <v>45994</v>
      </c>
      <c r="C727" s="0" t="s">
        <v>681</v>
      </c>
      <c r="D727" s="0" t="n">
        <v>31</v>
      </c>
      <c r="E727" s="0" t="s">
        <v>2158</v>
      </c>
      <c r="F727" s="3" t="n">
        <f aca="false">D727*_xlfn.XLOOKUP(C727,Item_Master!A:A,Item_Master!G:G)</f>
        <v>38130</v>
      </c>
      <c r="G727" s="0" t="str">
        <f aca="false">TEXT(B727,"MMM YYYY")</f>
        <v>Dec 2025</v>
      </c>
    </row>
    <row r="728" customFormat="false" ht="15" hidden="false" customHeight="false" outlineLevel="0" collapsed="false">
      <c r="A728" s="0" t="s">
        <v>2159</v>
      </c>
      <c r="B728" s="4" t="n">
        <v>45995</v>
      </c>
      <c r="C728" s="0" t="s">
        <v>32</v>
      </c>
      <c r="D728" s="0" t="n">
        <v>27</v>
      </c>
      <c r="E728" s="0" t="s">
        <v>2160</v>
      </c>
      <c r="F728" s="3" t="n">
        <f aca="false">D728*_xlfn.XLOOKUP(C728,Item_Master!A:A,Item_Master!G:G)</f>
        <v>109620</v>
      </c>
      <c r="G728" s="0" t="str">
        <f aca="false">TEXT(B728,"MMM YYYY")</f>
        <v>Dec 2025</v>
      </c>
    </row>
    <row r="729" customFormat="false" ht="15" hidden="false" customHeight="false" outlineLevel="0" collapsed="false">
      <c r="A729" s="0" t="s">
        <v>2161</v>
      </c>
      <c r="B729" s="4" t="n">
        <v>45995</v>
      </c>
      <c r="C729" s="0" t="s">
        <v>37</v>
      </c>
      <c r="D729" s="0" t="n">
        <v>10</v>
      </c>
      <c r="E729" s="0" t="s">
        <v>2162</v>
      </c>
      <c r="F729" s="3" t="n">
        <f aca="false">D729*_xlfn.XLOOKUP(C729,Item_Master!A:A,Item_Master!G:G)</f>
        <v>5400</v>
      </c>
      <c r="G729" s="0" t="str">
        <f aca="false">TEXT(B729,"MMM YYYY")</f>
        <v>Dec 2025</v>
      </c>
    </row>
    <row r="730" customFormat="false" ht="15" hidden="false" customHeight="false" outlineLevel="0" collapsed="false">
      <c r="A730" s="0" t="s">
        <v>2163</v>
      </c>
      <c r="B730" s="4" t="n">
        <v>45995</v>
      </c>
      <c r="C730" s="0" t="s">
        <v>77</v>
      </c>
      <c r="D730" s="0" t="n">
        <v>21</v>
      </c>
      <c r="E730" s="0" t="s">
        <v>2164</v>
      </c>
      <c r="F730" s="3" t="n">
        <f aca="false">D730*_xlfn.XLOOKUP(C730,Item_Master!A:A,Item_Master!G:G)</f>
        <v>19950</v>
      </c>
      <c r="G730" s="0" t="str">
        <f aca="false">TEXT(B730,"MMM YYYY")</f>
        <v>Dec 2025</v>
      </c>
    </row>
    <row r="731" customFormat="false" ht="15" hidden="false" customHeight="false" outlineLevel="0" collapsed="false">
      <c r="A731" s="0" t="s">
        <v>2165</v>
      </c>
      <c r="B731" s="4" t="n">
        <v>45995</v>
      </c>
      <c r="C731" s="0" t="s">
        <v>117</v>
      </c>
      <c r="D731" s="0" t="n">
        <v>16</v>
      </c>
      <c r="E731" s="0" t="s">
        <v>2166</v>
      </c>
      <c r="F731" s="3" t="n">
        <f aca="false">D731*_xlfn.XLOOKUP(C731,Item_Master!A:A,Item_Master!G:G)</f>
        <v>5760</v>
      </c>
      <c r="G731" s="0" t="str">
        <f aca="false">TEXT(B731,"MMM YYYY")</f>
        <v>Dec 2025</v>
      </c>
    </row>
    <row r="732" customFormat="false" ht="15" hidden="false" customHeight="false" outlineLevel="0" collapsed="false">
      <c r="A732" s="0" t="s">
        <v>2167</v>
      </c>
      <c r="B732" s="4" t="n">
        <v>45995</v>
      </c>
      <c r="C732" s="0" t="s">
        <v>297</v>
      </c>
      <c r="D732" s="0" t="n">
        <v>9</v>
      </c>
      <c r="E732" s="0" t="s">
        <v>2168</v>
      </c>
      <c r="F732" s="3" t="n">
        <f aca="false">D732*_xlfn.XLOOKUP(C732,Item_Master!A:A,Item_Master!G:G)</f>
        <v>6120</v>
      </c>
      <c r="G732" s="0" t="str">
        <f aca="false">TEXT(B732,"MMM YYYY")</f>
        <v>Dec 2025</v>
      </c>
    </row>
    <row r="733" customFormat="false" ht="15" hidden="false" customHeight="false" outlineLevel="0" collapsed="false">
      <c r="A733" s="0" t="s">
        <v>2169</v>
      </c>
      <c r="B733" s="4" t="n">
        <v>45995</v>
      </c>
      <c r="C733" s="0" t="s">
        <v>312</v>
      </c>
      <c r="D733" s="0" t="n">
        <v>14</v>
      </c>
      <c r="E733" s="0" t="s">
        <v>2170</v>
      </c>
      <c r="F733" s="3" t="n">
        <f aca="false">D733*_xlfn.XLOOKUP(C733,Item_Master!A:A,Item_Master!G:G)</f>
        <v>11620</v>
      </c>
      <c r="G733" s="0" t="str">
        <f aca="false">TEXT(B733,"MMM YYYY")</f>
        <v>Dec 2025</v>
      </c>
    </row>
    <row r="734" customFormat="false" ht="15" hidden="false" customHeight="false" outlineLevel="0" collapsed="false">
      <c r="A734" s="0" t="s">
        <v>2171</v>
      </c>
      <c r="B734" s="4" t="n">
        <v>45995</v>
      </c>
      <c r="C734" s="0" t="s">
        <v>319</v>
      </c>
      <c r="D734" s="0" t="n">
        <v>8</v>
      </c>
      <c r="E734" s="0" t="s">
        <v>2172</v>
      </c>
      <c r="F734" s="3" t="n">
        <f aca="false">D734*_xlfn.XLOOKUP(C734,Item_Master!A:A,Item_Master!G:G)</f>
        <v>181680</v>
      </c>
      <c r="G734" s="0" t="str">
        <f aca="false">TEXT(B734,"MMM YYYY")</f>
        <v>Dec 2025</v>
      </c>
    </row>
    <row r="735" customFormat="false" ht="15" hidden="false" customHeight="false" outlineLevel="0" collapsed="false">
      <c r="A735" s="0" t="s">
        <v>2173</v>
      </c>
      <c r="B735" s="4" t="n">
        <v>45996</v>
      </c>
      <c r="C735" s="0" t="s">
        <v>68</v>
      </c>
      <c r="D735" s="0" t="n">
        <v>7</v>
      </c>
      <c r="E735" s="0" t="s">
        <v>2174</v>
      </c>
      <c r="F735" s="3" t="n">
        <f aca="false">D735*_xlfn.XLOOKUP(C735,Item_Master!A:A,Item_Master!G:G)</f>
        <v>9450</v>
      </c>
      <c r="G735" s="0" t="str">
        <f aca="false">TEXT(B735,"MMM YYYY")</f>
        <v>Dec 2025</v>
      </c>
    </row>
    <row r="736" customFormat="false" ht="15" hidden="false" customHeight="false" outlineLevel="0" collapsed="false">
      <c r="A736" s="0" t="s">
        <v>2175</v>
      </c>
      <c r="B736" s="4" t="n">
        <v>45996</v>
      </c>
      <c r="C736" s="0" t="s">
        <v>191</v>
      </c>
      <c r="D736" s="0" t="n">
        <v>33</v>
      </c>
      <c r="E736" s="0" t="s">
        <v>2176</v>
      </c>
      <c r="F736" s="3" t="n">
        <f aca="false">D736*_xlfn.XLOOKUP(C736,Item_Master!A:A,Item_Master!G:G)</f>
        <v>378840</v>
      </c>
      <c r="G736" s="0" t="str">
        <f aca="false">TEXT(B736,"MMM YYYY")</f>
        <v>Dec 2025</v>
      </c>
    </row>
    <row r="737" customFormat="false" ht="15" hidden="false" customHeight="false" outlineLevel="0" collapsed="false">
      <c r="A737" s="0" t="s">
        <v>2177</v>
      </c>
      <c r="B737" s="4" t="n">
        <v>45996</v>
      </c>
      <c r="C737" s="0" t="s">
        <v>202</v>
      </c>
      <c r="D737" s="0" t="n">
        <v>10</v>
      </c>
      <c r="E737" s="0" t="s">
        <v>2178</v>
      </c>
      <c r="F737" s="3" t="n">
        <f aca="false">D737*_xlfn.XLOOKUP(C737,Item_Master!A:A,Item_Master!G:G)</f>
        <v>16300</v>
      </c>
      <c r="G737" s="0" t="str">
        <f aca="false">TEXT(B737,"MMM YYYY")</f>
        <v>Dec 2025</v>
      </c>
    </row>
    <row r="738" customFormat="false" ht="15" hidden="false" customHeight="false" outlineLevel="0" collapsed="false">
      <c r="A738" s="0" t="s">
        <v>2179</v>
      </c>
      <c r="B738" s="4" t="n">
        <v>45996</v>
      </c>
      <c r="C738" s="0" t="s">
        <v>269</v>
      </c>
      <c r="D738" s="0" t="n">
        <v>7</v>
      </c>
      <c r="E738" s="0" t="s">
        <v>2180</v>
      </c>
      <c r="F738" s="3" t="n">
        <f aca="false">D738*_xlfn.XLOOKUP(C738,Item_Master!A:A,Item_Master!G:G)</f>
        <v>16870</v>
      </c>
      <c r="G738" s="0" t="str">
        <f aca="false">TEXT(B738,"MMM YYYY")</f>
        <v>Dec 2025</v>
      </c>
    </row>
    <row r="739" customFormat="false" ht="15" hidden="false" customHeight="false" outlineLevel="0" collapsed="false">
      <c r="A739" s="0" t="s">
        <v>2181</v>
      </c>
      <c r="B739" s="4" t="n">
        <v>45996</v>
      </c>
      <c r="C739" s="0" t="s">
        <v>310</v>
      </c>
      <c r="D739" s="0" t="n">
        <v>3</v>
      </c>
      <c r="E739" s="0" t="s">
        <v>2182</v>
      </c>
      <c r="F739" s="3" t="n">
        <f aca="false">D739*_xlfn.XLOOKUP(C739,Item_Master!A:A,Item_Master!G:G)</f>
        <v>1830</v>
      </c>
      <c r="G739" s="0" t="str">
        <f aca="false">TEXT(B739,"MMM YYYY")</f>
        <v>Dec 2025</v>
      </c>
    </row>
    <row r="740" customFormat="false" ht="15" hidden="false" customHeight="false" outlineLevel="0" collapsed="false">
      <c r="A740" s="0" t="s">
        <v>2183</v>
      </c>
      <c r="B740" s="4" t="n">
        <v>45996</v>
      </c>
      <c r="C740" s="0" t="s">
        <v>316</v>
      </c>
      <c r="D740" s="0" t="n">
        <v>20</v>
      </c>
      <c r="E740" s="0" t="s">
        <v>2184</v>
      </c>
      <c r="F740" s="3" t="n">
        <f aca="false">D740*_xlfn.XLOOKUP(C740,Item_Master!A:A,Item_Master!G:G)</f>
        <v>8000</v>
      </c>
      <c r="G740" s="0" t="str">
        <f aca="false">TEXT(B740,"MMM YYYY")</f>
        <v>Dec 2025</v>
      </c>
    </row>
    <row r="741" customFormat="false" ht="15" hidden="false" customHeight="false" outlineLevel="0" collapsed="false">
      <c r="A741" s="0" t="s">
        <v>2185</v>
      </c>
      <c r="B741" s="4" t="n">
        <v>45996</v>
      </c>
      <c r="C741" s="0" t="s">
        <v>341</v>
      </c>
      <c r="D741" s="0" t="n">
        <v>7</v>
      </c>
      <c r="E741" s="0" t="s">
        <v>2186</v>
      </c>
      <c r="F741" s="3" t="n">
        <f aca="false">D741*_xlfn.XLOOKUP(C741,Item_Master!A:A,Item_Master!G:G)</f>
        <v>4900</v>
      </c>
      <c r="G741" s="0" t="str">
        <f aca="false">TEXT(B741,"MMM YYYY")</f>
        <v>Dec 2025</v>
      </c>
    </row>
    <row r="742" customFormat="false" ht="15" hidden="false" customHeight="false" outlineLevel="0" collapsed="false">
      <c r="A742" s="0" t="s">
        <v>2187</v>
      </c>
      <c r="B742" s="4" t="n">
        <v>45996</v>
      </c>
      <c r="C742" s="0" t="s">
        <v>382</v>
      </c>
      <c r="D742" s="0" t="n">
        <v>35</v>
      </c>
      <c r="E742" s="0" t="s">
        <v>777</v>
      </c>
      <c r="F742" s="3" t="n">
        <f aca="false">D742*_xlfn.XLOOKUP(C742,Item_Master!A:A,Item_Master!G:G)</f>
        <v>72100</v>
      </c>
      <c r="G742" s="0" t="str">
        <f aca="false">TEXT(B742,"MMM YYYY")</f>
        <v>Dec 2025</v>
      </c>
    </row>
    <row r="743" customFormat="false" ht="15" hidden="false" customHeight="false" outlineLevel="0" collapsed="false">
      <c r="A743" s="0" t="s">
        <v>2188</v>
      </c>
      <c r="B743" s="4" t="n">
        <v>45996</v>
      </c>
      <c r="C743" s="0" t="s">
        <v>398</v>
      </c>
      <c r="D743" s="0" t="n">
        <v>26</v>
      </c>
      <c r="E743" s="0" t="s">
        <v>2189</v>
      </c>
      <c r="F743" s="3" t="n">
        <f aca="false">D743*_xlfn.XLOOKUP(C743,Item_Master!A:A,Item_Master!G:G)</f>
        <v>8060</v>
      </c>
      <c r="G743" s="0" t="str">
        <f aca="false">TEXT(B743,"MMM YYYY")</f>
        <v>Dec 2025</v>
      </c>
    </row>
    <row r="744" customFormat="false" ht="15" hidden="false" customHeight="false" outlineLevel="0" collapsed="false">
      <c r="A744" s="0" t="s">
        <v>2190</v>
      </c>
      <c r="B744" s="4" t="n">
        <v>45996</v>
      </c>
      <c r="C744" s="0" t="s">
        <v>516</v>
      </c>
      <c r="D744" s="0" t="n">
        <v>10</v>
      </c>
      <c r="E744" s="0" t="s">
        <v>2191</v>
      </c>
      <c r="F744" s="3" t="n">
        <f aca="false">D744*_xlfn.XLOOKUP(C744,Item_Master!A:A,Item_Master!G:G)</f>
        <v>61200</v>
      </c>
      <c r="G744" s="0" t="str">
        <f aca="false">TEXT(B744,"MMM YYYY")</f>
        <v>Dec 2025</v>
      </c>
    </row>
    <row r="745" customFormat="false" ht="15" hidden="false" customHeight="false" outlineLevel="0" collapsed="false">
      <c r="A745" s="0" t="s">
        <v>2192</v>
      </c>
      <c r="B745" s="4" t="n">
        <v>45996</v>
      </c>
      <c r="C745" s="0" t="s">
        <v>584</v>
      </c>
      <c r="D745" s="0" t="n">
        <v>1</v>
      </c>
      <c r="E745" s="0" t="s">
        <v>2193</v>
      </c>
      <c r="F745" s="3" t="n">
        <f aca="false">D745*_xlfn.XLOOKUP(C745,Item_Master!A:A,Item_Master!G:G)</f>
        <v>8280</v>
      </c>
      <c r="G745" s="0" t="str">
        <f aca="false">TEXT(B745,"MMM YYYY")</f>
        <v>Dec 2025</v>
      </c>
    </row>
    <row r="746" customFormat="false" ht="15" hidden="false" customHeight="false" outlineLevel="0" collapsed="false">
      <c r="A746" s="0" t="s">
        <v>2194</v>
      </c>
      <c r="B746" s="4" t="n">
        <v>45996</v>
      </c>
      <c r="C746" s="0" t="s">
        <v>610</v>
      </c>
      <c r="D746" s="0" t="n">
        <v>2</v>
      </c>
      <c r="E746" s="0" t="s">
        <v>2195</v>
      </c>
      <c r="F746" s="3" t="n">
        <f aca="false">D746*_xlfn.XLOOKUP(C746,Item_Master!A:A,Item_Master!G:G)</f>
        <v>4560</v>
      </c>
      <c r="G746" s="0" t="str">
        <f aca="false">TEXT(B746,"MMM YYYY")</f>
        <v>Dec 2025</v>
      </c>
    </row>
    <row r="747" customFormat="false" ht="15" hidden="false" customHeight="false" outlineLevel="0" collapsed="false">
      <c r="A747" s="0" t="s">
        <v>2196</v>
      </c>
      <c r="B747" s="4" t="n">
        <v>45996</v>
      </c>
      <c r="C747" s="0" t="s">
        <v>671</v>
      </c>
      <c r="D747" s="0" t="n">
        <v>22</v>
      </c>
      <c r="E747" s="0" t="s">
        <v>2197</v>
      </c>
      <c r="F747" s="3" t="n">
        <f aca="false">D747*_xlfn.XLOOKUP(C747,Item_Master!A:A,Item_Master!G:G)</f>
        <v>49280</v>
      </c>
      <c r="G747" s="0" t="str">
        <f aca="false">TEXT(B747,"MMM YYYY")</f>
        <v>Dec 2025</v>
      </c>
    </row>
    <row r="748" customFormat="false" ht="15" hidden="false" customHeight="false" outlineLevel="0" collapsed="false">
      <c r="A748" s="0" t="s">
        <v>2198</v>
      </c>
      <c r="B748" s="4" t="n">
        <v>45996</v>
      </c>
      <c r="C748" s="0" t="s">
        <v>706</v>
      </c>
      <c r="D748" s="0" t="n">
        <v>2</v>
      </c>
      <c r="E748" s="0" t="s">
        <v>2199</v>
      </c>
      <c r="F748" s="3" t="n">
        <f aca="false">D748*_xlfn.XLOOKUP(C748,Item_Master!A:A,Item_Master!G:G)</f>
        <v>2460</v>
      </c>
      <c r="G748" s="0" t="str">
        <f aca="false">TEXT(B748,"MMM YYYY")</f>
        <v>Dec 2025</v>
      </c>
    </row>
    <row r="749" customFormat="false" ht="15" hidden="false" customHeight="false" outlineLevel="0" collapsed="false">
      <c r="A749" s="0" t="s">
        <v>2200</v>
      </c>
      <c r="B749" s="4" t="n">
        <v>45997</v>
      </c>
      <c r="C749" s="0" t="s">
        <v>17</v>
      </c>
      <c r="D749" s="0" t="n">
        <v>1</v>
      </c>
      <c r="E749" s="0" t="s">
        <v>2201</v>
      </c>
      <c r="F749" s="3" t="n">
        <f aca="false">D749*_xlfn.XLOOKUP(C749,Item_Master!A:A,Item_Master!G:G)</f>
        <v>930</v>
      </c>
      <c r="G749" s="0" t="str">
        <f aca="false">TEXT(B749,"MMM YYYY")</f>
        <v>Dec 2025</v>
      </c>
    </row>
    <row r="750" customFormat="false" ht="15" hidden="false" customHeight="false" outlineLevel="0" collapsed="false">
      <c r="A750" s="0" t="s">
        <v>2202</v>
      </c>
      <c r="B750" s="4" t="n">
        <v>45997</v>
      </c>
      <c r="C750" s="0" t="s">
        <v>176</v>
      </c>
      <c r="D750" s="0" t="n">
        <v>4</v>
      </c>
      <c r="E750" s="0" t="s">
        <v>2203</v>
      </c>
      <c r="F750" s="3" t="n">
        <f aca="false">D750*_xlfn.XLOOKUP(C750,Item_Master!A:A,Item_Master!G:G)</f>
        <v>70400</v>
      </c>
      <c r="G750" s="0" t="str">
        <f aca="false">TEXT(B750,"MMM YYYY")</f>
        <v>Dec 2025</v>
      </c>
    </row>
    <row r="751" customFormat="false" ht="15" hidden="false" customHeight="false" outlineLevel="0" collapsed="false">
      <c r="A751" s="0" t="s">
        <v>2204</v>
      </c>
      <c r="B751" s="4" t="n">
        <v>45997</v>
      </c>
      <c r="C751" s="0" t="s">
        <v>204</v>
      </c>
      <c r="D751" s="0" t="n">
        <v>32</v>
      </c>
      <c r="E751" s="0" t="s">
        <v>2205</v>
      </c>
      <c r="F751" s="3" t="n">
        <f aca="false">D751*_xlfn.XLOOKUP(C751,Item_Master!A:A,Item_Master!G:G)</f>
        <v>45120</v>
      </c>
      <c r="G751" s="0" t="str">
        <f aca="false">TEXT(B751,"MMM YYYY")</f>
        <v>Dec 2025</v>
      </c>
    </row>
    <row r="752" customFormat="false" ht="15" hidden="false" customHeight="false" outlineLevel="0" collapsed="false">
      <c r="A752" s="0" t="s">
        <v>2206</v>
      </c>
      <c r="B752" s="4" t="n">
        <v>45997</v>
      </c>
      <c r="C752" s="0" t="s">
        <v>207</v>
      </c>
      <c r="D752" s="0" t="n">
        <v>3</v>
      </c>
      <c r="E752" s="0" t="s">
        <v>2207</v>
      </c>
      <c r="F752" s="3" t="n">
        <f aca="false">D752*_xlfn.XLOOKUP(C752,Item_Master!A:A,Item_Master!G:G)</f>
        <v>7770</v>
      </c>
      <c r="G752" s="0" t="str">
        <f aca="false">TEXT(B752,"MMM YYYY")</f>
        <v>Dec 2025</v>
      </c>
    </row>
    <row r="753" customFormat="false" ht="15" hidden="false" customHeight="false" outlineLevel="0" collapsed="false">
      <c r="A753" s="0" t="s">
        <v>2208</v>
      </c>
      <c r="B753" s="4" t="n">
        <v>45997</v>
      </c>
      <c r="C753" s="0" t="s">
        <v>398</v>
      </c>
      <c r="D753" s="0" t="n">
        <v>2</v>
      </c>
      <c r="E753" s="0" t="s">
        <v>2209</v>
      </c>
      <c r="F753" s="3" t="n">
        <f aca="false">D753*_xlfn.XLOOKUP(C753,Item_Master!A:A,Item_Master!G:G)</f>
        <v>620</v>
      </c>
      <c r="G753" s="0" t="str">
        <f aca="false">TEXT(B753,"MMM YYYY")</f>
        <v>Dec 2025</v>
      </c>
    </row>
    <row r="754" customFormat="false" ht="15" hidden="false" customHeight="false" outlineLevel="0" collapsed="false">
      <c r="A754" s="0" t="s">
        <v>2210</v>
      </c>
      <c r="B754" s="4" t="n">
        <v>45997</v>
      </c>
      <c r="C754" s="0" t="s">
        <v>409</v>
      </c>
      <c r="D754" s="0" t="n">
        <v>30</v>
      </c>
      <c r="E754" s="0" t="s">
        <v>2211</v>
      </c>
      <c r="F754" s="3" t="n">
        <f aca="false">D754*_xlfn.XLOOKUP(C754,Item_Master!A:A,Item_Master!G:G)</f>
        <v>132300</v>
      </c>
      <c r="G754" s="0" t="str">
        <f aca="false">TEXT(B754,"MMM YYYY")</f>
        <v>Dec 2025</v>
      </c>
    </row>
    <row r="755" customFormat="false" ht="15" hidden="false" customHeight="false" outlineLevel="0" collapsed="false">
      <c r="A755" s="0" t="s">
        <v>2212</v>
      </c>
      <c r="B755" s="4" t="n">
        <v>45997</v>
      </c>
      <c r="C755" s="0" t="s">
        <v>472</v>
      </c>
      <c r="D755" s="0" t="n">
        <v>37</v>
      </c>
      <c r="E755" s="0" t="s">
        <v>2213</v>
      </c>
      <c r="F755" s="3" t="n">
        <f aca="false">D755*_xlfn.XLOOKUP(C755,Item_Master!A:A,Item_Master!G:G)</f>
        <v>136900</v>
      </c>
      <c r="G755" s="0" t="str">
        <f aca="false">TEXT(B755,"MMM YYYY")</f>
        <v>Dec 2025</v>
      </c>
    </row>
    <row r="756" customFormat="false" ht="15" hidden="false" customHeight="false" outlineLevel="0" collapsed="false">
      <c r="A756" s="0" t="s">
        <v>2214</v>
      </c>
      <c r="B756" s="4" t="n">
        <v>45997</v>
      </c>
      <c r="C756" s="0" t="s">
        <v>476</v>
      </c>
      <c r="D756" s="0" t="n">
        <v>22</v>
      </c>
      <c r="E756" s="0" t="s">
        <v>2215</v>
      </c>
      <c r="F756" s="3" t="n">
        <f aca="false">D756*_xlfn.XLOOKUP(C756,Item_Master!A:A,Item_Master!G:G)</f>
        <v>13420</v>
      </c>
      <c r="G756" s="0" t="str">
        <f aca="false">TEXT(B756,"MMM YYYY")</f>
        <v>Dec 2025</v>
      </c>
    </row>
    <row r="757" customFormat="false" ht="15" hidden="false" customHeight="false" outlineLevel="0" collapsed="false">
      <c r="A757" s="0" t="s">
        <v>2216</v>
      </c>
      <c r="B757" s="4" t="n">
        <v>45997</v>
      </c>
      <c r="C757" s="0" t="s">
        <v>509</v>
      </c>
      <c r="D757" s="0" t="n">
        <v>13</v>
      </c>
      <c r="E757" s="0" t="s">
        <v>2217</v>
      </c>
      <c r="F757" s="3" t="n">
        <f aca="false">D757*_xlfn.XLOOKUP(C757,Item_Master!A:A,Item_Master!G:G)</f>
        <v>4940</v>
      </c>
      <c r="G757" s="0" t="str">
        <f aca="false">TEXT(B757,"MMM YYYY")</f>
        <v>Dec 2025</v>
      </c>
    </row>
    <row r="758" customFormat="false" ht="15" hidden="false" customHeight="false" outlineLevel="0" collapsed="false">
      <c r="A758" s="0" t="s">
        <v>2218</v>
      </c>
      <c r="B758" s="4" t="n">
        <v>45997</v>
      </c>
      <c r="C758" s="0" t="s">
        <v>518</v>
      </c>
      <c r="D758" s="0" t="n">
        <v>20</v>
      </c>
      <c r="E758" s="0" t="s">
        <v>2219</v>
      </c>
      <c r="F758" s="3" t="n">
        <f aca="false">D758*_xlfn.XLOOKUP(C758,Item_Master!A:A,Item_Master!G:G)</f>
        <v>65800</v>
      </c>
      <c r="G758" s="0" t="str">
        <f aca="false">TEXT(B758,"MMM YYYY")</f>
        <v>Dec 2025</v>
      </c>
    </row>
    <row r="759" customFormat="false" ht="15" hidden="false" customHeight="false" outlineLevel="0" collapsed="false">
      <c r="A759" s="0" t="s">
        <v>2220</v>
      </c>
      <c r="B759" s="4" t="n">
        <v>45997</v>
      </c>
      <c r="C759" s="0" t="s">
        <v>523</v>
      </c>
      <c r="D759" s="0" t="n">
        <v>3</v>
      </c>
      <c r="E759" s="0" t="s">
        <v>2221</v>
      </c>
      <c r="F759" s="3" t="n">
        <f aca="false">D759*_xlfn.XLOOKUP(C759,Item_Master!A:A,Item_Master!G:G)</f>
        <v>8910</v>
      </c>
      <c r="G759" s="0" t="str">
        <f aca="false">TEXT(B759,"MMM YYYY")</f>
        <v>Dec 2025</v>
      </c>
    </row>
    <row r="760" customFormat="false" ht="15" hidden="false" customHeight="false" outlineLevel="0" collapsed="false">
      <c r="A760" s="0" t="s">
        <v>2222</v>
      </c>
      <c r="B760" s="4" t="n">
        <v>45997</v>
      </c>
      <c r="C760" s="0" t="s">
        <v>574</v>
      </c>
      <c r="D760" s="0" t="n">
        <v>37</v>
      </c>
      <c r="E760" s="0" t="s">
        <v>2223</v>
      </c>
      <c r="F760" s="3" t="n">
        <f aca="false">D760*_xlfn.XLOOKUP(C760,Item_Master!A:A,Item_Master!G:G)</f>
        <v>102120</v>
      </c>
      <c r="G760" s="0" t="str">
        <f aca="false">TEXT(B760,"MMM YYYY")</f>
        <v>Dec 2025</v>
      </c>
    </row>
    <row r="761" customFormat="false" ht="15" hidden="false" customHeight="false" outlineLevel="0" collapsed="false">
      <c r="A761" s="0" t="s">
        <v>2224</v>
      </c>
      <c r="B761" s="4" t="n">
        <v>45998</v>
      </c>
      <c r="C761" s="0" t="s">
        <v>17</v>
      </c>
      <c r="D761" s="0" t="n">
        <v>2</v>
      </c>
      <c r="E761" s="0" t="s">
        <v>2225</v>
      </c>
      <c r="F761" s="3" t="n">
        <f aca="false">D761*_xlfn.XLOOKUP(C761,Item_Master!A:A,Item_Master!G:G)</f>
        <v>1860</v>
      </c>
      <c r="G761" s="0" t="str">
        <f aca="false">TEXT(B761,"MMM YYYY")</f>
        <v>Dec 2025</v>
      </c>
    </row>
    <row r="762" customFormat="false" ht="15" hidden="false" customHeight="false" outlineLevel="0" collapsed="false">
      <c r="A762" s="0" t="s">
        <v>2226</v>
      </c>
      <c r="B762" s="4" t="n">
        <v>45998</v>
      </c>
      <c r="C762" s="0" t="s">
        <v>163</v>
      </c>
      <c r="D762" s="0" t="n">
        <v>31</v>
      </c>
      <c r="E762" s="0" t="s">
        <v>2227</v>
      </c>
      <c r="F762" s="3" t="n">
        <f aca="false">D762*_xlfn.XLOOKUP(C762,Item_Master!A:A,Item_Master!G:G)</f>
        <v>580630</v>
      </c>
      <c r="G762" s="0" t="str">
        <f aca="false">TEXT(B762,"MMM YYYY")</f>
        <v>Dec 2025</v>
      </c>
    </row>
    <row r="763" customFormat="false" ht="15" hidden="false" customHeight="false" outlineLevel="0" collapsed="false">
      <c r="A763" s="0" t="s">
        <v>2228</v>
      </c>
      <c r="B763" s="4" t="n">
        <v>45998</v>
      </c>
      <c r="C763" s="0" t="s">
        <v>237</v>
      </c>
      <c r="D763" s="0" t="n">
        <v>20</v>
      </c>
      <c r="E763" s="0" t="s">
        <v>2229</v>
      </c>
      <c r="F763" s="3" t="n">
        <f aca="false">D763*_xlfn.XLOOKUP(C763,Item_Master!A:A,Item_Master!G:G)</f>
        <v>14400</v>
      </c>
      <c r="G763" s="0" t="str">
        <f aca="false">TEXT(B763,"MMM YYYY")</f>
        <v>Dec 2025</v>
      </c>
    </row>
    <row r="764" customFormat="false" ht="15" hidden="false" customHeight="false" outlineLevel="0" collapsed="false">
      <c r="A764" s="0" t="s">
        <v>2230</v>
      </c>
      <c r="B764" s="4" t="n">
        <v>45998</v>
      </c>
      <c r="C764" s="0" t="s">
        <v>363</v>
      </c>
      <c r="D764" s="0" t="n">
        <v>15</v>
      </c>
      <c r="E764" s="0" t="s">
        <v>2231</v>
      </c>
      <c r="F764" s="3" t="n">
        <f aca="false">D764*_xlfn.XLOOKUP(C764,Item_Master!A:A,Item_Master!G:G)</f>
        <v>20700</v>
      </c>
      <c r="G764" s="0" t="str">
        <f aca="false">TEXT(B764,"MMM YYYY")</f>
        <v>Dec 2025</v>
      </c>
    </row>
    <row r="765" customFormat="false" ht="15" hidden="false" customHeight="false" outlineLevel="0" collapsed="false">
      <c r="A765" s="0" t="s">
        <v>2232</v>
      </c>
      <c r="B765" s="4" t="n">
        <v>45998</v>
      </c>
      <c r="C765" s="0" t="s">
        <v>415</v>
      </c>
      <c r="D765" s="0" t="n">
        <v>4</v>
      </c>
      <c r="E765" s="0" t="s">
        <v>2233</v>
      </c>
      <c r="F765" s="3" t="n">
        <f aca="false">D765*_xlfn.XLOOKUP(C765,Item_Master!A:A,Item_Master!G:G)</f>
        <v>5320</v>
      </c>
      <c r="G765" s="0" t="str">
        <f aca="false">TEXT(B765,"MMM YYYY")</f>
        <v>Dec 2025</v>
      </c>
    </row>
    <row r="766" customFormat="false" ht="15" hidden="false" customHeight="false" outlineLevel="0" collapsed="false">
      <c r="A766" s="0" t="s">
        <v>2234</v>
      </c>
      <c r="B766" s="4" t="n">
        <v>45998</v>
      </c>
      <c r="C766" s="0" t="s">
        <v>417</v>
      </c>
      <c r="D766" s="0" t="n">
        <v>26</v>
      </c>
      <c r="E766" s="0" t="s">
        <v>2128</v>
      </c>
      <c r="F766" s="3" t="n">
        <f aca="false">D766*_xlfn.XLOOKUP(C766,Item_Master!A:A,Item_Master!G:G)</f>
        <v>55640</v>
      </c>
      <c r="G766" s="0" t="str">
        <f aca="false">TEXT(B766,"MMM YYYY")</f>
        <v>Dec 2025</v>
      </c>
    </row>
    <row r="767" customFormat="false" ht="15" hidden="false" customHeight="false" outlineLevel="0" collapsed="false">
      <c r="A767" s="0" t="s">
        <v>2235</v>
      </c>
      <c r="B767" s="4" t="n">
        <v>45998</v>
      </c>
      <c r="C767" s="0" t="s">
        <v>482</v>
      </c>
      <c r="D767" s="0" t="n">
        <v>11</v>
      </c>
      <c r="E767" s="0" t="s">
        <v>2236</v>
      </c>
      <c r="F767" s="3" t="n">
        <f aca="false">D767*_xlfn.XLOOKUP(C767,Item_Master!A:A,Item_Master!G:G)</f>
        <v>13420</v>
      </c>
      <c r="G767" s="0" t="str">
        <f aca="false">TEXT(B767,"MMM YYYY")</f>
        <v>Dec 2025</v>
      </c>
    </row>
    <row r="768" customFormat="false" ht="15" hidden="false" customHeight="false" outlineLevel="0" collapsed="false">
      <c r="A768" s="0" t="s">
        <v>2237</v>
      </c>
      <c r="B768" s="4" t="n">
        <v>45998</v>
      </c>
      <c r="C768" s="0" t="s">
        <v>513</v>
      </c>
      <c r="D768" s="0" t="n">
        <v>21</v>
      </c>
      <c r="E768" s="0" t="s">
        <v>2238</v>
      </c>
      <c r="F768" s="3" t="n">
        <f aca="false">D768*_xlfn.XLOOKUP(C768,Item_Master!A:A,Item_Master!G:G)</f>
        <v>48300</v>
      </c>
      <c r="G768" s="0" t="str">
        <f aca="false">TEXT(B768,"MMM YYYY")</f>
        <v>Dec 2025</v>
      </c>
    </row>
    <row r="769" customFormat="false" ht="15" hidden="false" customHeight="false" outlineLevel="0" collapsed="false">
      <c r="A769" s="0" t="s">
        <v>2239</v>
      </c>
      <c r="B769" s="4" t="n">
        <v>45998</v>
      </c>
      <c r="C769" s="0" t="s">
        <v>612</v>
      </c>
      <c r="D769" s="0" t="n">
        <v>26</v>
      </c>
      <c r="E769" s="0" t="s">
        <v>2240</v>
      </c>
      <c r="F769" s="3" t="n">
        <f aca="false">D769*_xlfn.XLOOKUP(C769,Item_Master!A:A,Item_Master!G:G)</f>
        <v>67340</v>
      </c>
      <c r="G769" s="0" t="str">
        <f aca="false">TEXT(B769,"MMM YYYY")</f>
        <v>Dec 2025</v>
      </c>
    </row>
    <row r="770" customFormat="false" ht="15" hidden="false" customHeight="false" outlineLevel="0" collapsed="false">
      <c r="A770" s="0" t="s">
        <v>2241</v>
      </c>
      <c r="B770" s="4" t="n">
        <v>45998</v>
      </c>
      <c r="C770" s="0" t="s">
        <v>649</v>
      </c>
      <c r="D770" s="0" t="n">
        <v>17</v>
      </c>
      <c r="E770" s="0" t="s">
        <v>2242</v>
      </c>
      <c r="F770" s="3" t="n">
        <f aca="false">D770*_xlfn.XLOOKUP(C770,Item_Master!A:A,Item_Master!G:G)</f>
        <v>27200</v>
      </c>
      <c r="G770" s="0" t="str">
        <f aca="false">TEXT(B770,"MMM YYYY")</f>
        <v>Dec 2025</v>
      </c>
    </row>
    <row r="771" customFormat="false" ht="15" hidden="false" customHeight="false" outlineLevel="0" collapsed="false">
      <c r="A771" s="0" t="s">
        <v>2243</v>
      </c>
      <c r="B771" s="4" t="n">
        <v>45999</v>
      </c>
      <c r="C771" s="0" t="s">
        <v>30</v>
      </c>
      <c r="D771" s="0" t="n">
        <v>12</v>
      </c>
      <c r="E771" s="0" t="s">
        <v>2244</v>
      </c>
      <c r="F771" s="3" t="n">
        <f aca="false">D771*_xlfn.XLOOKUP(C771,Item_Master!A:A,Item_Master!G:G)</f>
        <v>21720</v>
      </c>
      <c r="G771" s="0" t="str">
        <f aca="false">TEXT(B771,"MMM YYYY")</f>
        <v>Dec 2025</v>
      </c>
    </row>
    <row r="772" customFormat="false" ht="15" hidden="false" customHeight="false" outlineLevel="0" collapsed="false">
      <c r="A772" s="0" t="s">
        <v>2245</v>
      </c>
      <c r="B772" s="4" t="n">
        <v>45999</v>
      </c>
      <c r="C772" s="0" t="s">
        <v>103</v>
      </c>
      <c r="D772" s="0" t="n">
        <v>7</v>
      </c>
      <c r="E772" s="0" t="s">
        <v>2246</v>
      </c>
      <c r="F772" s="3" t="n">
        <f aca="false">D772*_xlfn.XLOOKUP(C772,Item_Master!A:A,Item_Master!G:G)</f>
        <v>12600</v>
      </c>
      <c r="G772" s="0" t="str">
        <f aca="false">TEXT(B772,"MMM YYYY")</f>
        <v>Dec 2025</v>
      </c>
    </row>
    <row r="773" customFormat="false" ht="15" hidden="false" customHeight="false" outlineLevel="0" collapsed="false">
      <c r="A773" s="0" t="s">
        <v>2247</v>
      </c>
      <c r="B773" s="4" t="n">
        <v>45999</v>
      </c>
      <c r="C773" s="0" t="s">
        <v>125</v>
      </c>
      <c r="D773" s="0" t="n">
        <v>10</v>
      </c>
      <c r="E773" s="0" t="s">
        <v>2248</v>
      </c>
      <c r="F773" s="3" t="n">
        <f aca="false">D773*_xlfn.XLOOKUP(C773,Item_Master!A:A,Item_Master!G:G)</f>
        <v>22400</v>
      </c>
      <c r="G773" s="0" t="str">
        <f aca="false">TEXT(B773,"MMM YYYY")</f>
        <v>Dec 2025</v>
      </c>
    </row>
    <row r="774" customFormat="false" ht="15" hidden="false" customHeight="false" outlineLevel="0" collapsed="false">
      <c r="A774" s="0" t="s">
        <v>2249</v>
      </c>
      <c r="B774" s="4" t="n">
        <v>45999</v>
      </c>
      <c r="C774" s="0" t="s">
        <v>136</v>
      </c>
      <c r="D774" s="0" t="n">
        <v>31</v>
      </c>
      <c r="E774" s="0" t="s">
        <v>2250</v>
      </c>
      <c r="F774" s="3" t="n">
        <f aca="false">D774*_xlfn.XLOOKUP(C774,Item_Master!A:A,Item_Master!G:G)</f>
        <v>46190</v>
      </c>
      <c r="G774" s="0" t="str">
        <f aca="false">TEXT(B774,"MMM YYYY")</f>
        <v>Dec 2025</v>
      </c>
    </row>
    <row r="775" customFormat="false" ht="15" hidden="false" customHeight="false" outlineLevel="0" collapsed="false">
      <c r="A775" s="0" t="s">
        <v>2251</v>
      </c>
      <c r="B775" s="4" t="n">
        <v>45999</v>
      </c>
      <c r="C775" s="0" t="s">
        <v>417</v>
      </c>
      <c r="D775" s="0" t="n">
        <v>23</v>
      </c>
      <c r="E775" s="0" t="s">
        <v>2252</v>
      </c>
      <c r="F775" s="3" t="n">
        <f aca="false">D775*_xlfn.XLOOKUP(C775,Item_Master!A:A,Item_Master!G:G)</f>
        <v>49220</v>
      </c>
      <c r="G775" s="0" t="str">
        <f aca="false">TEXT(B775,"MMM YYYY")</f>
        <v>Dec 2025</v>
      </c>
    </row>
    <row r="776" customFormat="false" ht="15" hidden="false" customHeight="false" outlineLevel="0" collapsed="false">
      <c r="A776" s="0" t="s">
        <v>2253</v>
      </c>
      <c r="B776" s="4" t="n">
        <v>45999</v>
      </c>
      <c r="C776" s="0" t="s">
        <v>437</v>
      </c>
      <c r="D776" s="0" t="n">
        <v>15</v>
      </c>
      <c r="E776" s="0" t="s">
        <v>2254</v>
      </c>
      <c r="F776" s="3" t="n">
        <f aca="false">D776*_xlfn.XLOOKUP(C776,Item_Master!A:A,Item_Master!G:G)</f>
        <v>40650</v>
      </c>
      <c r="G776" s="0" t="str">
        <f aca="false">TEXT(B776,"MMM YYYY")</f>
        <v>Dec 2025</v>
      </c>
    </row>
    <row r="777" customFormat="false" ht="15" hidden="false" customHeight="false" outlineLevel="0" collapsed="false">
      <c r="A777" s="0" t="s">
        <v>2255</v>
      </c>
      <c r="B777" s="4" t="n">
        <v>45999</v>
      </c>
      <c r="C777" s="0" t="s">
        <v>470</v>
      </c>
      <c r="D777" s="0" t="n">
        <v>8</v>
      </c>
      <c r="E777" s="0" t="s">
        <v>2256</v>
      </c>
      <c r="F777" s="3" t="n">
        <f aca="false">D777*_xlfn.XLOOKUP(C777,Item_Master!A:A,Item_Master!G:G)</f>
        <v>10960</v>
      </c>
      <c r="G777" s="0" t="str">
        <f aca="false">TEXT(B777,"MMM YYYY")</f>
        <v>Dec 2025</v>
      </c>
    </row>
    <row r="778" customFormat="false" ht="15" hidden="false" customHeight="false" outlineLevel="0" collapsed="false">
      <c r="A778" s="0" t="s">
        <v>2257</v>
      </c>
      <c r="B778" s="4" t="n">
        <v>45999</v>
      </c>
      <c r="C778" s="0" t="s">
        <v>518</v>
      </c>
      <c r="D778" s="0" t="n">
        <v>22</v>
      </c>
      <c r="E778" s="0" t="s">
        <v>2258</v>
      </c>
      <c r="F778" s="3" t="n">
        <f aca="false">D778*_xlfn.XLOOKUP(C778,Item_Master!A:A,Item_Master!G:G)</f>
        <v>72380</v>
      </c>
      <c r="G778" s="0" t="str">
        <f aca="false">TEXT(B778,"MMM YYYY")</f>
        <v>Dec 2025</v>
      </c>
    </row>
    <row r="779" customFormat="false" ht="15" hidden="false" customHeight="false" outlineLevel="0" collapsed="false">
      <c r="A779" s="0" t="s">
        <v>2259</v>
      </c>
      <c r="B779" s="4" t="n">
        <v>45999</v>
      </c>
      <c r="C779" s="0" t="s">
        <v>571</v>
      </c>
      <c r="D779" s="0" t="n">
        <v>1</v>
      </c>
      <c r="E779" s="0" t="s">
        <v>2260</v>
      </c>
      <c r="F779" s="3" t="n">
        <f aca="false">D779*_xlfn.XLOOKUP(C779,Item_Master!A:A,Item_Master!G:G)</f>
        <v>1480</v>
      </c>
      <c r="G779" s="0" t="str">
        <f aca="false">TEXT(B779,"MMM YYYY")</f>
        <v>Dec 2025</v>
      </c>
    </row>
    <row r="780" customFormat="false" ht="15" hidden="false" customHeight="false" outlineLevel="0" collapsed="false">
      <c r="A780" s="0" t="s">
        <v>2261</v>
      </c>
      <c r="B780" s="4" t="n">
        <v>45999</v>
      </c>
      <c r="C780" s="0" t="s">
        <v>601</v>
      </c>
      <c r="D780" s="0" t="n">
        <v>2</v>
      </c>
      <c r="E780" s="0" t="s">
        <v>2262</v>
      </c>
      <c r="F780" s="3" t="n">
        <f aca="false">D780*_xlfn.XLOOKUP(C780,Item_Master!A:A,Item_Master!G:G)</f>
        <v>4480</v>
      </c>
      <c r="G780" s="0" t="str">
        <f aca="false">TEXT(B780,"MMM YYYY")</f>
        <v>Dec 2025</v>
      </c>
    </row>
    <row r="781" customFormat="false" ht="15" hidden="false" customHeight="false" outlineLevel="0" collapsed="false">
      <c r="A781" s="0" t="s">
        <v>2263</v>
      </c>
      <c r="B781" s="4" t="n">
        <v>45999</v>
      </c>
      <c r="C781" s="0" t="s">
        <v>648</v>
      </c>
      <c r="D781" s="0" t="n">
        <v>2</v>
      </c>
      <c r="E781" s="0" t="s">
        <v>2264</v>
      </c>
      <c r="F781" s="3" t="n">
        <f aca="false">D781*_xlfn.XLOOKUP(C781,Item_Master!A:A,Item_Master!G:G)</f>
        <v>46500</v>
      </c>
      <c r="G781" s="0" t="str">
        <f aca="false">TEXT(B781,"MMM YYYY")</f>
        <v>Dec 2025</v>
      </c>
    </row>
    <row r="782" customFormat="false" ht="15" hidden="false" customHeight="false" outlineLevel="0" collapsed="false">
      <c r="A782" s="0" t="s">
        <v>2265</v>
      </c>
      <c r="B782" s="4" t="n">
        <v>45999</v>
      </c>
      <c r="C782" s="0" t="s">
        <v>704</v>
      </c>
      <c r="D782" s="0" t="n">
        <v>15</v>
      </c>
      <c r="E782" s="0" t="s">
        <v>2266</v>
      </c>
      <c r="F782" s="3" t="n">
        <f aca="false">D782*_xlfn.XLOOKUP(C782,Item_Master!A:A,Item_Master!G:G)</f>
        <v>6900</v>
      </c>
      <c r="G782" s="0" t="str">
        <f aca="false">TEXT(B782,"MMM YYYY")</f>
        <v>Dec 2025</v>
      </c>
    </row>
    <row r="783" customFormat="false" ht="15" hidden="false" customHeight="false" outlineLevel="0" collapsed="false">
      <c r="A783" s="0" t="s">
        <v>2267</v>
      </c>
      <c r="B783" s="4" t="n">
        <v>46000</v>
      </c>
      <c r="C783" s="0" t="s">
        <v>98</v>
      </c>
      <c r="D783" s="0" t="n">
        <v>23</v>
      </c>
      <c r="E783" s="0" t="s">
        <v>2268</v>
      </c>
      <c r="F783" s="3" t="n">
        <f aca="false">D783*_xlfn.XLOOKUP(C783,Item_Master!A:A,Item_Master!G:G)</f>
        <v>22770</v>
      </c>
      <c r="G783" s="0" t="str">
        <f aca="false">TEXT(B783,"MMM YYYY")</f>
        <v>Dec 2025</v>
      </c>
    </row>
    <row r="784" customFormat="false" ht="15" hidden="false" customHeight="false" outlineLevel="0" collapsed="false">
      <c r="A784" s="0" t="s">
        <v>2269</v>
      </c>
      <c r="B784" s="4" t="n">
        <v>46000</v>
      </c>
      <c r="C784" s="0" t="s">
        <v>105</v>
      </c>
      <c r="D784" s="0" t="n">
        <v>29</v>
      </c>
      <c r="E784" s="0" t="s">
        <v>2270</v>
      </c>
      <c r="F784" s="3" t="n">
        <f aca="false">D784*_xlfn.XLOOKUP(C784,Item_Master!A:A,Item_Master!G:G)</f>
        <v>397880</v>
      </c>
      <c r="G784" s="0" t="str">
        <f aca="false">TEXT(B784,"MMM YYYY")</f>
        <v>Dec 2025</v>
      </c>
    </row>
    <row r="785" customFormat="false" ht="15" hidden="false" customHeight="false" outlineLevel="0" collapsed="false">
      <c r="A785" s="0" t="s">
        <v>2271</v>
      </c>
      <c r="B785" s="4" t="n">
        <v>46000</v>
      </c>
      <c r="C785" s="0" t="s">
        <v>133</v>
      </c>
      <c r="D785" s="0" t="n">
        <v>17</v>
      </c>
      <c r="E785" s="0" t="s">
        <v>2272</v>
      </c>
      <c r="F785" s="3" t="n">
        <f aca="false">D785*_xlfn.XLOOKUP(C785,Item_Master!A:A,Item_Master!G:G)</f>
        <v>21080</v>
      </c>
      <c r="G785" s="0" t="str">
        <f aca="false">TEXT(B785,"MMM YYYY")</f>
        <v>Dec 2025</v>
      </c>
    </row>
    <row r="786" customFormat="false" ht="15" hidden="false" customHeight="false" outlineLevel="0" collapsed="false">
      <c r="A786" s="0" t="s">
        <v>2273</v>
      </c>
      <c r="B786" s="4" t="n">
        <v>46000</v>
      </c>
      <c r="C786" s="0" t="s">
        <v>180</v>
      </c>
      <c r="D786" s="0" t="n">
        <v>6</v>
      </c>
      <c r="E786" s="0" t="s">
        <v>2274</v>
      </c>
      <c r="F786" s="3" t="n">
        <f aca="false">D786*_xlfn.XLOOKUP(C786,Item_Master!A:A,Item_Master!G:G)</f>
        <v>57360</v>
      </c>
      <c r="G786" s="0" t="str">
        <f aca="false">TEXT(B786,"MMM YYYY")</f>
        <v>Dec 2025</v>
      </c>
    </row>
    <row r="787" customFormat="false" ht="15" hidden="false" customHeight="false" outlineLevel="0" collapsed="false">
      <c r="A787" s="0" t="s">
        <v>2275</v>
      </c>
      <c r="B787" s="4" t="n">
        <v>46000</v>
      </c>
      <c r="C787" s="0" t="s">
        <v>351</v>
      </c>
      <c r="D787" s="0" t="n">
        <v>2</v>
      </c>
      <c r="E787" s="0" t="s">
        <v>2276</v>
      </c>
      <c r="F787" s="3" t="n">
        <f aca="false">D787*_xlfn.XLOOKUP(C787,Item_Master!A:A,Item_Master!G:G)</f>
        <v>3560</v>
      </c>
      <c r="G787" s="0" t="str">
        <f aca="false">TEXT(B787,"MMM YYYY")</f>
        <v>Dec 2025</v>
      </c>
    </row>
    <row r="788" customFormat="false" ht="15" hidden="false" customHeight="false" outlineLevel="0" collapsed="false">
      <c r="A788" s="0" t="s">
        <v>2277</v>
      </c>
      <c r="B788" s="4" t="n">
        <v>46000</v>
      </c>
      <c r="C788" s="0" t="s">
        <v>404</v>
      </c>
      <c r="D788" s="0" t="n">
        <v>32</v>
      </c>
      <c r="E788" s="0" t="s">
        <v>2278</v>
      </c>
      <c r="F788" s="3" t="n">
        <f aca="false">D788*_xlfn.XLOOKUP(C788,Item_Master!A:A,Item_Master!G:G)</f>
        <v>56320</v>
      </c>
      <c r="G788" s="0" t="str">
        <f aca="false">TEXT(B788,"MMM YYYY")</f>
        <v>Dec 2025</v>
      </c>
    </row>
    <row r="789" customFormat="false" ht="15" hidden="false" customHeight="false" outlineLevel="0" collapsed="false">
      <c r="A789" s="0" t="s">
        <v>2279</v>
      </c>
      <c r="B789" s="4" t="n">
        <v>46000</v>
      </c>
      <c r="C789" s="0" t="s">
        <v>478</v>
      </c>
      <c r="D789" s="0" t="n">
        <v>9</v>
      </c>
      <c r="E789" s="0" t="s">
        <v>2280</v>
      </c>
      <c r="F789" s="3" t="n">
        <f aca="false">D789*_xlfn.XLOOKUP(C789,Item_Master!A:A,Item_Master!G:G)</f>
        <v>18270</v>
      </c>
      <c r="G789" s="0" t="str">
        <f aca="false">TEXT(B789,"MMM YYYY")</f>
        <v>Dec 2025</v>
      </c>
    </row>
    <row r="790" customFormat="false" ht="15" hidden="false" customHeight="false" outlineLevel="0" collapsed="false">
      <c r="A790" s="0" t="s">
        <v>2281</v>
      </c>
      <c r="B790" s="4" t="n">
        <v>46000</v>
      </c>
      <c r="C790" s="0" t="s">
        <v>484</v>
      </c>
      <c r="D790" s="0" t="n">
        <v>2</v>
      </c>
      <c r="E790" s="0" t="s">
        <v>2282</v>
      </c>
      <c r="F790" s="3" t="n">
        <f aca="false">D790*_xlfn.XLOOKUP(C790,Item_Master!A:A,Item_Master!G:G)</f>
        <v>4860</v>
      </c>
      <c r="G790" s="0" t="str">
        <f aca="false">TEXT(B790,"MMM YYYY")</f>
        <v>Dec 2025</v>
      </c>
    </row>
    <row r="791" customFormat="false" ht="15" hidden="false" customHeight="false" outlineLevel="0" collapsed="false">
      <c r="A791" s="0" t="s">
        <v>2283</v>
      </c>
      <c r="B791" s="4" t="n">
        <v>46000</v>
      </c>
      <c r="C791" s="0" t="s">
        <v>535</v>
      </c>
      <c r="D791" s="0" t="n">
        <v>11</v>
      </c>
      <c r="E791" s="0" t="s">
        <v>2284</v>
      </c>
      <c r="F791" s="3" t="n">
        <f aca="false">D791*_xlfn.XLOOKUP(C791,Item_Master!A:A,Item_Master!G:G)</f>
        <v>26620</v>
      </c>
      <c r="G791" s="0" t="str">
        <f aca="false">TEXT(B791,"MMM YYYY")</f>
        <v>Dec 2025</v>
      </c>
    </row>
    <row r="792" customFormat="false" ht="15" hidden="false" customHeight="false" outlineLevel="0" collapsed="false">
      <c r="A792" s="0" t="s">
        <v>2285</v>
      </c>
      <c r="B792" s="4" t="n">
        <v>46000</v>
      </c>
      <c r="C792" s="0" t="s">
        <v>569</v>
      </c>
      <c r="D792" s="0" t="n">
        <v>40</v>
      </c>
      <c r="E792" s="0" t="s">
        <v>2286</v>
      </c>
      <c r="F792" s="3" t="n">
        <f aca="false">D792*_xlfn.XLOOKUP(C792,Item_Master!A:A,Item_Master!G:G)</f>
        <v>71200</v>
      </c>
      <c r="G792" s="0" t="str">
        <f aca="false">TEXT(B792,"MMM YYYY")</f>
        <v>Dec 2025</v>
      </c>
    </row>
    <row r="793" customFormat="false" ht="15" hidden="false" customHeight="false" outlineLevel="0" collapsed="false">
      <c r="A793" s="0" t="s">
        <v>2287</v>
      </c>
      <c r="B793" s="4" t="n">
        <v>46001</v>
      </c>
      <c r="C793" s="0" t="s">
        <v>103</v>
      </c>
      <c r="D793" s="0" t="n">
        <v>3</v>
      </c>
      <c r="E793" s="0" t="s">
        <v>2288</v>
      </c>
      <c r="F793" s="3" t="n">
        <f aca="false">D793*_xlfn.XLOOKUP(C793,Item_Master!A:A,Item_Master!G:G)</f>
        <v>5400</v>
      </c>
      <c r="G793" s="0" t="str">
        <f aca="false">TEXT(B793,"MMM YYYY")</f>
        <v>Dec 2025</v>
      </c>
    </row>
    <row r="794" customFormat="false" ht="15" hidden="false" customHeight="false" outlineLevel="0" collapsed="false">
      <c r="A794" s="0" t="s">
        <v>2289</v>
      </c>
      <c r="B794" s="4" t="n">
        <v>46001</v>
      </c>
      <c r="C794" s="0" t="s">
        <v>168</v>
      </c>
      <c r="D794" s="0" t="n">
        <v>9</v>
      </c>
      <c r="E794" s="0" t="s">
        <v>2290</v>
      </c>
      <c r="F794" s="3" t="n">
        <f aca="false">D794*_xlfn.XLOOKUP(C794,Item_Master!A:A,Item_Master!G:G)</f>
        <v>2250</v>
      </c>
      <c r="G794" s="0" t="str">
        <f aca="false">TEXT(B794,"MMM YYYY")</f>
        <v>Dec 2025</v>
      </c>
    </row>
    <row r="795" customFormat="false" ht="15" hidden="false" customHeight="false" outlineLevel="0" collapsed="false">
      <c r="A795" s="0" t="s">
        <v>2291</v>
      </c>
      <c r="B795" s="4" t="n">
        <v>46001</v>
      </c>
      <c r="C795" s="0" t="s">
        <v>193</v>
      </c>
      <c r="D795" s="0" t="n">
        <v>4</v>
      </c>
      <c r="E795" s="0" t="s">
        <v>2292</v>
      </c>
      <c r="F795" s="3" t="n">
        <f aca="false">D795*_xlfn.XLOOKUP(C795,Item_Master!A:A,Item_Master!G:G)</f>
        <v>76120</v>
      </c>
      <c r="G795" s="0" t="str">
        <f aca="false">TEXT(B795,"MMM YYYY")</f>
        <v>Dec 2025</v>
      </c>
    </row>
    <row r="796" customFormat="false" ht="15" hidden="false" customHeight="false" outlineLevel="0" collapsed="false">
      <c r="A796" s="0" t="s">
        <v>2293</v>
      </c>
      <c r="B796" s="4" t="n">
        <v>46001</v>
      </c>
      <c r="C796" s="0" t="s">
        <v>324</v>
      </c>
      <c r="D796" s="0" t="n">
        <v>34</v>
      </c>
      <c r="E796" s="0" t="s">
        <v>2294</v>
      </c>
      <c r="F796" s="3" t="n">
        <f aca="false">D796*_xlfn.XLOOKUP(C796,Item_Master!A:A,Item_Master!G:G)</f>
        <v>679320</v>
      </c>
      <c r="G796" s="0" t="str">
        <f aca="false">TEXT(B796,"MMM YYYY")</f>
        <v>Dec 2025</v>
      </c>
    </row>
    <row r="797" customFormat="false" ht="15" hidden="false" customHeight="false" outlineLevel="0" collapsed="false">
      <c r="A797" s="0" t="s">
        <v>2295</v>
      </c>
      <c r="B797" s="4" t="n">
        <v>46001</v>
      </c>
      <c r="C797" s="0" t="s">
        <v>364</v>
      </c>
      <c r="D797" s="0" t="n">
        <v>19</v>
      </c>
      <c r="E797" s="0" t="s">
        <v>2296</v>
      </c>
      <c r="F797" s="3" t="n">
        <f aca="false">D797*_xlfn.XLOOKUP(C797,Item_Master!A:A,Item_Master!G:G)</f>
        <v>67830</v>
      </c>
      <c r="G797" s="0" t="str">
        <f aca="false">TEXT(B797,"MMM YYYY")</f>
        <v>Dec 2025</v>
      </c>
    </row>
    <row r="798" customFormat="false" ht="15" hidden="false" customHeight="false" outlineLevel="0" collapsed="false">
      <c r="A798" s="0" t="s">
        <v>2297</v>
      </c>
      <c r="B798" s="4" t="n">
        <v>46001</v>
      </c>
      <c r="C798" s="0" t="s">
        <v>364</v>
      </c>
      <c r="D798" s="0" t="n">
        <v>17</v>
      </c>
      <c r="E798" s="0" t="s">
        <v>2298</v>
      </c>
      <c r="F798" s="3" t="n">
        <f aca="false">D798*_xlfn.XLOOKUP(C798,Item_Master!A:A,Item_Master!G:G)</f>
        <v>60690</v>
      </c>
      <c r="G798" s="0" t="str">
        <f aca="false">TEXT(B798,"MMM YYYY")</f>
        <v>Dec 2025</v>
      </c>
    </row>
    <row r="799" customFormat="false" ht="15" hidden="false" customHeight="false" outlineLevel="0" collapsed="false">
      <c r="A799" s="0" t="s">
        <v>2299</v>
      </c>
      <c r="B799" s="4" t="n">
        <v>46001</v>
      </c>
      <c r="C799" s="0" t="s">
        <v>457</v>
      </c>
      <c r="D799" s="0" t="n">
        <v>20</v>
      </c>
      <c r="E799" s="0" t="s">
        <v>2300</v>
      </c>
      <c r="F799" s="3" t="n">
        <f aca="false">D799*_xlfn.XLOOKUP(C799,Item_Master!A:A,Item_Master!G:G)</f>
        <v>12200</v>
      </c>
      <c r="G799" s="0" t="str">
        <f aca="false">TEXT(B799,"MMM YYYY")</f>
        <v>Dec 2025</v>
      </c>
    </row>
    <row r="800" customFormat="false" ht="15" hidden="false" customHeight="false" outlineLevel="0" collapsed="false">
      <c r="A800" s="0" t="s">
        <v>2301</v>
      </c>
      <c r="B800" s="4" t="n">
        <v>46001</v>
      </c>
      <c r="C800" s="0" t="s">
        <v>564</v>
      </c>
      <c r="D800" s="0" t="n">
        <v>31</v>
      </c>
      <c r="E800" s="0" t="s">
        <v>2302</v>
      </c>
      <c r="F800" s="3" t="n">
        <f aca="false">D800*_xlfn.XLOOKUP(C800,Item_Master!A:A,Item_Master!G:G)</f>
        <v>31310</v>
      </c>
      <c r="G800" s="0" t="str">
        <f aca="false">TEXT(B800,"MMM YYYY")</f>
        <v>Dec 2025</v>
      </c>
    </row>
    <row r="801" customFormat="false" ht="15" hidden="false" customHeight="false" outlineLevel="0" collapsed="false">
      <c r="A801" s="0" t="s">
        <v>2303</v>
      </c>
      <c r="B801" s="4" t="n">
        <v>46001</v>
      </c>
      <c r="C801" s="0" t="s">
        <v>608</v>
      </c>
      <c r="D801" s="0" t="n">
        <v>40</v>
      </c>
      <c r="E801" s="0" t="s">
        <v>2304</v>
      </c>
      <c r="F801" s="3" t="n">
        <f aca="false">D801*_xlfn.XLOOKUP(C801,Item_Master!A:A,Item_Master!G:G)</f>
        <v>63600</v>
      </c>
      <c r="G801" s="0" t="str">
        <f aca="false">TEXT(B801,"MMM YYYY")</f>
        <v>Dec 2025</v>
      </c>
    </row>
    <row r="802" customFormat="false" ht="15" hidden="false" customHeight="false" outlineLevel="0" collapsed="false">
      <c r="A802" s="0" t="s">
        <v>2305</v>
      </c>
      <c r="B802" s="4" t="n">
        <v>46001</v>
      </c>
      <c r="C802" s="0" t="s">
        <v>616</v>
      </c>
      <c r="D802" s="0" t="n">
        <v>31</v>
      </c>
      <c r="E802" s="0" t="s">
        <v>2306</v>
      </c>
      <c r="F802" s="3" t="n">
        <f aca="false">D802*_xlfn.XLOOKUP(C802,Item_Master!A:A,Item_Master!G:G)</f>
        <v>116560</v>
      </c>
      <c r="G802" s="0" t="str">
        <f aca="false">TEXT(B802,"MMM YYYY")</f>
        <v>Dec 2025</v>
      </c>
    </row>
    <row r="803" customFormat="false" ht="15" hidden="false" customHeight="false" outlineLevel="0" collapsed="false">
      <c r="A803" s="0" t="s">
        <v>2307</v>
      </c>
      <c r="B803" s="4" t="n">
        <v>46001</v>
      </c>
      <c r="C803" s="0" t="s">
        <v>649</v>
      </c>
      <c r="D803" s="0" t="n">
        <v>4</v>
      </c>
      <c r="E803" s="0" t="s">
        <v>2308</v>
      </c>
      <c r="F803" s="3" t="n">
        <f aca="false">D803*_xlfn.XLOOKUP(C803,Item_Master!A:A,Item_Master!G:G)</f>
        <v>6400</v>
      </c>
      <c r="G803" s="0" t="str">
        <f aca="false">TEXT(B803,"MMM YYYY")</f>
        <v>Dec 2025</v>
      </c>
    </row>
    <row r="804" customFormat="false" ht="15" hidden="false" customHeight="false" outlineLevel="0" collapsed="false">
      <c r="A804" s="0" t="s">
        <v>2309</v>
      </c>
      <c r="B804" s="4" t="n">
        <v>46001</v>
      </c>
      <c r="C804" s="0" t="s">
        <v>663</v>
      </c>
      <c r="D804" s="0" t="n">
        <v>35</v>
      </c>
      <c r="E804" s="0" t="s">
        <v>2310</v>
      </c>
      <c r="F804" s="3" t="n">
        <f aca="false">D804*_xlfn.XLOOKUP(C804,Item_Master!A:A,Item_Master!G:G)</f>
        <v>20300</v>
      </c>
      <c r="G804" s="0" t="str">
        <f aca="false">TEXT(B804,"MMM YYYY")</f>
        <v>Dec 2025</v>
      </c>
    </row>
    <row r="805" customFormat="false" ht="15" hidden="false" customHeight="false" outlineLevel="0" collapsed="false">
      <c r="A805" s="0" t="s">
        <v>2311</v>
      </c>
      <c r="B805" s="4" t="n">
        <v>46002</v>
      </c>
      <c r="C805" s="0" t="s">
        <v>41</v>
      </c>
      <c r="D805" s="0" t="n">
        <v>39</v>
      </c>
      <c r="E805" s="0" t="s">
        <v>2312</v>
      </c>
      <c r="F805" s="3" t="n">
        <f aca="false">D805*_xlfn.XLOOKUP(C805,Item_Master!A:A,Item_Master!G:G)</f>
        <v>39780</v>
      </c>
      <c r="G805" s="0" t="str">
        <f aca="false">TEXT(B805,"MMM YYYY")</f>
        <v>Dec 2025</v>
      </c>
    </row>
    <row r="806" customFormat="false" ht="15" hidden="false" customHeight="false" outlineLevel="0" collapsed="false">
      <c r="A806" s="0" t="s">
        <v>2313</v>
      </c>
      <c r="B806" s="4" t="n">
        <v>46002</v>
      </c>
      <c r="C806" s="0" t="s">
        <v>44</v>
      </c>
      <c r="D806" s="0" t="n">
        <v>17</v>
      </c>
      <c r="E806" s="0" t="s">
        <v>2314</v>
      </c>
      <c r="F806" s="3" t="n">
        <f aca="false">D806*_xlfn.XLOOKUP(C806,Item_Master!A:A,Item_Master!G:G)</f>
        <v>27710</v>
      </c>
      <c r="G806" s="0" t="str">
        <f aca="false">TEXT(B806,"MMM YYYY")</f>
        <v>Dec 2025</v>
      </c>
    </row>
    <row r="807" customFormat="false" ht="15" hidden="false" customHeight="false" outlineLevel="0" collapsed="false">
      <c r="A807" s="0" t="s">
        <v>2315</v>
      </c>
      <c r="B807" s="4" t="n">
        <v>46002</v>
      </c>
      <c r="C807" s="0" t="s">
        <v>83</v>
      </c>
      <c r="D807" s="0" t="n">
        <v>5</v>
      </c>
      <c r="E807" s="0" t="s">
        <v>2316</v>
      </c>
      <c r="F807" s="3" t="n">
        <f aca="false">D807*_xlfn.XLOOKUP(C807,Item_Master!A:A,Item_Master!G:G)</f>
        <v>27950</v>
      </c>
      <c r="G807" s="0" t="str">
        <f aca="false">TEXT(B807,"MMM YYYY")</f>
        <v>Dec 2025</v>
      </c>
    </row>
    <row r="808" customFormat="false" ht="15" hidden="false" customHeight="false" outlineLevel="0" collapsed="false">
      <c r="A808" s="0" t="s">
        <v>2317</v>
      </c>
      <c r="B808" s="4" t="n">
        <v>46002</v>
      </c>
      <c r="C808" s="0" t="s">
        <v>198</v>
      </c>
      <c r="D808" s="0" t="n">
        <v>3</v>
      </c>
      <c r="E808" s="0" t="s">
        <v>2318</v>
      </c>
      <c r="F808" s="3" t="n">
        <f aca="false">D808*_xlfn.XLOOKUP(C808,Item_Master!A:A,Item_Master!G:G)</f>
        <v>31470</v>
      </c>
      <c r="G808" s="0" t="str">
        <f aca="false">TEXT(B808,"MMM YYYY")</f>
        <v>Dec 2025</v>
      </c>
    </row>
    <row r="809" customFormat="false" ht="15" hidden="false" customHeight="false" outlineLevel="0" collapsed="false">
      <c r="A809" s="0" t="s">
        <v>2319</v>
      </c>
      <c r="B809" s="4" t="n">
        <v>46002</v>
      </c>
      <c r="C809" s="0" t="s">
        <v>217</v>
      </c>
      <c r="D809" s="0" t="n">
        <v>20</v>
      </c>
      <c r="E809" s="0" t="s">
        <v>2320</v>
      </c>
      <c r="F809" s="3" t="n">
        <f aca="false">D809*_xlfn.XLOOKUP(C809,Item_Master!A:A,Item_Master!G:G)</f>
        <v>68600</v>
      </c>
      <c r="G809" s="0" t="str">
        <f aca="false">TEXT(B809,"MMM YYYY")</f>
        <v>Dec 2025</v>
      </c>
    </row>
    <row r="810" customFormat="false" ht="15" hidden="false" customHeight="false" outlineLevel="0" collapsed="false">
      <c r="A810" s="0" t="s">
        <v>2321</v>
      </c>
      <c r="B810" s="4" t="n">
        <v>46002</v>
      </c>
      <c r="C810" s="0" t="s">
        <v>265</v>
      </c>
      <c r="D810" s="0" t="n">
        <v>21</v>
      </c>
      <c r="E810" s="0" t="s">
        <v>2322</v>
      </c>
      <c r="F810" s="3" t="n">
        <f aca="false">D810*_xlfn.XLOOKUP(C810,Item_Master!A:A,Item_Master!G:G)</f>
        <v>5670</v>
      </c>
      <c r="G810" s="0" t="str">
        <f aca="false">TEXT(B810,"MMM YYYY")</f>
        <v>Dec 2025</v>
      </c>
    </row>
    <row r="811" customFormat="false" ht="15" hidden="false" customHeight="false" outlineLevel="0" collapsed="false">
      <c r="A811" s="0" t="s">
        <v>2323</v>
      </c>
      <c r="B811" s="4" t="n">
        <v>46002</v>
      </c>
      <c r="C811" s="0" t="s">
        <v>277</v>
      </c>
      <c r="D811" s="0" t="n">
        <v>26</v>
      </c>
      <c r="E811" s="0" t="s">
        <v>2324</v>
      </c>
      <c r="F811" s="3" t="n">
        <f aca="false">D811*_xlfn.XLOOKUP(C811,Item_Master!A:A,Item_Master!G:G)</f>
        <v>50960</v>
      </c>
      <c r="G811" s="0" t="str">
        <f aca="false">TEXT(B811,"MMM YYYY")</f>
        <v>Dec 2025</v>
      </c>
    </row>
    <row r="812" customFormat="false" ht="15" hidden="false" customHeight="false" outlineLevel="0" collapsed="false">
      <c r="A812" s="0" t="s">
        <v>2325</v>
      </c>
      <c r="B812" s="4" t="n">
        <v>46002</v>
      </c>
      <c r="C812" s="0" t="s">
        <v>387</v>
      </c>
      <c r="D812" s="0" t="n">
        <v>4</v>
      </c>
      <c r="E812" s="0" t="s">
        <v>2326</v>
      </c>
      <c r="F812" s="3" t="n">
        <f aca="false">D812*_xlfn.XLOOKUP(C812,Item_Master!A:A,Item_Master!G:G)</f>
        <v>4280</v>
      </c>
      <c r="G812" s="0" t="str">
        <f aca="false">TEXT(B812,"MMM YYYY")</f>
        <v>Dec 2025</v>
      </c>
    </row>
    <row r="813" customFormat="false" ht="15" hidden="false" customHeight="false" outlineLevel="0" collapsed="false">
      <c r="A813" s="0" t="s">
        <v>2327</v>
      </c>
      <c r="B813" s="4" t="n">
        <v>46002</v>
      </c>
      <c r="C813" s="0" t="s">
        <v>564</v>
      </c>
      <c r="D813" s="0" t="n">
        <v>28</v>
      </c>
      <c r="E813" s="0" t="s">
        <v>2328</v>
      </c>
      <c r="F813" s="3" t="n">
        <f aca="false">D813*_xlfn.XLOOKUP(C813,Item_Master!A:A,Item_Master!G:G)</f>
        <v>28280</v>
      </c>
      <c r="G813" s="0" t="str">
        <f aca="false">TEXT(B813,"MMM YYYY")</f>
        <v>Dec 2025</v>
      </c>
    </row>
    <row r="814" customFormat="false" ht="15" hidden="false" customHeight="false" outlineLevel="0" collapsed="false">
      <c r="A814" s="0" t="s">
        <v>2329</v>
      </c>
      <c r="B814" s="4" t="n">
        <v>46003</v>
      </c>
      <c r="C814" s="0" t="s">
        <v>47</v>
      </c>
      <c r="D814" s="0" t="n">
        <v>10</v>
      </c>
      <c r="E814" s="0" t="s">
        <v>2330</v>
      </c>
      <c r="F814" s="3" t="n">
        <f aca="false">D814*_xlfn.XLOOKUP(C814,Item_Master!A:A,Item_Master!G:G)</f>
        <v>3000</v>
      </c>
      <c r="G814" s="0" t="str">
        <f aca="false">TEXT(B814,"MMM YYYY")</f>
        <v>Dec 2025</v>
      </c>
    </row>
    <row r="815" customFormat="false" ht="15" hidden="false" customHeight="false" outlineLevel="0" collapsed="false">
      <c r="A815" s="0" t="s">
        <v>2331</v>
      </c>
      <c r="B815" s="4" t="n">
        <v>46003</v>
      </c>
      <c r="C815" s="0" t="s">
        <v>172</v>
      </c>
      <c r="D815" s="0" t="n">
        <v>11</v>
      </c>
      <c r="E815" s="0" t="s">
        <v>2332</v>
      </c>
      <c r="F815" s="3" t="n">
        <f aca="false">D815*_xlfn.XLOOKUP(C815,Item_Master!A:A,Item_Master!G:G)</f>
        <v>36300</v>
      </c>
      <c r="G815" s="0" t="str">
        <f aca="false">TEXT(B815,"MMM YYYY")</f>
        <v>Dec 2025</v>
      </c>
    </row>
    <row r="816" customFormat="false" ht="15" hidden="false" customHeight="false" outlineLevel="0" collapsed="false">
      <c r="A816" s="0" t="s">
        <v>2333</v>
      </c>
      <c r="B816" s="4" t="n">
        <v>46003</v>
      </c>
      <c r="C816" s="0" t="s">
        <v>247</v>
      </c>
      <c r="D816" s="0" t="n">
        <v>1</v>
      </c>
      <c r="E816" s="0" t="s">
        <v>2334</v>
      </c>
      <c r="F816" s="3" t="n">
        <f aca="false">D816*_xlfn.XLOOKUP(C816,Item_Master!A:A,Item_Master!G:G)</f>
        <v>1000</v>
      </c>
      <c r="G816" s="0" t="str">
        <f aca="false">TEXT(B816,"MMM YYYY")</f>
        <v>Dec 2025</v>
      </c>
    </row>
    <row r="817" customFormat="false" ht="15" hidden="false" customHeight="false" outlineLevel="0" collapsed="false">
      <c r="A817" s="0" t="s">
        <v>2335</v>
      </c>
      <c r="B817" s="4" t="n">
        <v>46003</v>
      </c>
      <c r="C817" s="0" t="s">
        <v>279</v>
      </c>
      <c r="D817" s="0" t="n">
        <v>33</v>
      </c>
      <c r="E817" s="0" t="s">
        <v>2336</v>
      </c>
      <c r="F817" s="3" t="n">
        <f aca="false">D817*_xlfn.XLOOKUP(C817,Item_Master!A:A,Item_Master!G:G)</f>
        <v>428010</v>
      </c>
      <c r="G817" s="0" t="str">
        <f aca="false">TEXT(B817,"MMM YYYY")</f>
        <v>Dec 2025</v>
      </c>
    </row>
    <row r="818" customFormat="false" ht="15" hidden="false" customHeight="false" outlineLevel="0" collapsed="false">
      <c r="A818" s="0" t="s">
        <v>2337</v>
      </c>
      <c r="B818" s="4" t="n">
        <v>46003</v>
      </c>
      <c r="C818" s="0" t="s">
        <v>331</v>
      </c>
      <c r="D818" s="0" t="n">
        <v>24</v>
      </c>
      <c r="E818" s="0" t="s">
        <v>2338</v>
      </c>
      <c r="F818" s="3" t="n">
        <f aca="false">D818*_xlfn.XLOOKUP(C818,Item_Master!A:A,Item_Master!G:G)</f>
        <v>31200</v>
      </c>
      <c r="G818" s="0" t="str">
        <f aca="false">TEXT(B818,"MMM YYYY")</f>
        <v>Dec 2025</v>
      </c>
    </row>
    <row r="819" customFormat="false" ht="15" hidden="false" customHeight="false" outlineLevel="0" collapsed="false">
      <c r="A819" s="0" t="s">
        <v>2339</v>
      </c>
      <c r="B819" s="4" t="n">
        <v>46003</v>
      </c>
      <c r="C819" s="0" t="s">
        <v>394</v>
      </c>
      <c r="D819" s="0" t="n">
        <v>35</v>
      </c>
      <c r="E819" s="0" t="s">
        <v>2340</v>
      </c>
      <c r="F819" s="3" t="n">
        <f aca="false">D819*_xlfn.XLOOKUP(C819,Item_Master!A:A,Item_Master!G:G)</f>
        <v>37100</v>
      </c>
      <c r="G819" s="0" t="str">
        <f aca="false">TEXT(B819,"MMM YYYY")</f>
        <v>Dec 2025</v>
      </c>
    </row>
    <row r="820" customFormat="false" ht="15" hidden="false" customHeight="false" outlineLevel="0" collapsed="false">
      <c r="A820" s="0" t="s">
        <v>2341</v>
      </c>
      <c r="B820" s="4" t="n">
        <v>46003</v>
      </c>
      <c r="C820" s="0" t="s">
        <v>404</v>
      </c>
      <c r="D820" s="0" t="n">
        <v>39</v>
      </c>
      <c r="E820" s="0" t="s">
        <v>2342</v>
      </c>
      <c r="F820" s="3" t="n">
        <f aca="false">D820*_xlfn.XLOOKUP(C820,Item_Master!A:A,Item_Master!G:G)</f>
        <v>68640</v>
      </c>
      <c r="G820" s="0" t="str">
        <f aca="false">TEXT(B820,"MMM YYYY")</f>
        <v>Dec 2025</v>
      </c>
    </row>
    <row r="821" customFormat="false" ht="15" hidden="false" customHeight="false" outlineLevel="0" collapsed="false">
      <c r="A821" s="0" t="s">
        <v>2343</v>
      </c>
      <c r="B821" s="4" t="n">
        <v>46003</v>
      </c>
      <c r="C821" s="0" t="s">
        <v>448</v>
      </c>
      <c r="D821" s="0" t="n">
        <v>2</v>
      </c>
      <c r="E821" s="0" t="s">
        <v>2344</v>
      </c>
      <c r="F821" s="3" t="n">
        <f aca="false">D821*_xlfn.XLOOKUP(C821,Item_Master!A:A,Item_Master!G:G)</f>
        <v>680</v>
      </c>
      <c r="G821" s="0" t="str">
        <f aca="false">TEXT(B821,"MMM YYYY")</f>
        <v>Dec 2025</v>
      </c>
    </row>
    <row r="822" customFormat="false" ht="15" hidden="false" customHeight="false" outlineLevel="0" collapsed="false">
      <c r="A822" s="0" t="s">
        <v>2345</v>
      </c>
      <c r="B822" s="4" t="n">
        <v>46003</v>
      </c>
      <c r="C822" s="0" t="s">
        <v>509</v>
      </c>
      <c r="D822" s="0" t="n">
        <v>10</v>
      </c>
      <c r="E822" s="0" t="s">
        <v>2346</v>
      </c>
      <c r="F822" s="3" t="n">
        <f aca="false">D822*_xlfn.XLOOKUP(C822,Item_Master!A:A,Item_Master!G:G)</f>
        <v>3800</v>
      </c>
      <c r="G822" s="0" t="str">
        <f aca="false">TEXT(B822,"MMM YYYY")</f>
        <v>Dec 2025</v>
      </c>
    </row>
    <row r="823" customFormat="false" ht="15" hidden="false" customHeight="false" outlineLevel="0" collapsed="false">
      <c r="A823" s="0" t="s">
        <v>2347</v>
      </c>
      <c r="B823" s="4" t="n">
        <v>46003</v>
      </c>
      <c r="C823" s="0" t="s">
        <v>509</v>
      </c>
      <c r="D823" s="0" t="n">
        <v>9</v>
      </c>
      <c r="E823" s="0" t="s">
        <v>2348</v>
      </c>
      <c r="F823" s="3" t="n">
        <f aca="false">D823*_xlfn.XLOOKUP(C823,Item_Master!A:A,Item_Master!G:G)</f>
        <v>3420</v>
      </c>
      <c r="G823" s="0" t="str">
        <f aca="false">TEXT(B823,"MMM YYYY")</f>
        <v>Dec 2025</v>
      </c>
    </row>
    <row r="824" customFormat="false" ht="15" hidden="false" customHeight="false" outlineLevel="0" collapsed="false">
      <c r="A824" s="0" t="s">
        <v>2349</v>
      </c>
      <c r="B824" s="4" t="n">
        <v>46003</v>
      </c>
      <c r="C824" s="0" t="s">
        <v>624</v>
      </c>
      <c r="D824" s="0" t="n">
        <v>5</v>
      </c>
      <c r="E824" s="0" t="s">
        <v>2350</v>
      </c>
      <c r="F824" s="3" t="n">
        <f aca="false">D824*_xlfn.XLOOKUP(C824,Item_Master!A:A,Item_Master!G:G)</f>
        <v>3100</v>
      </c>
      <c r="G824" s="0" t="str">
        <f aca="false">TEXT(B824,"MMM YYYY")</f>
        <v>Dec 2025</v>
      </c>
    </row>
    <row r="825" customFormat="false" ht="15" hidden="false" customHeight="false" outlineLevel="0" collapsed="false">
      <c r="A825" s="0" t="s">
        <v>2351</v>
      </c>
      <c r="B825" s="4" t="n">
        <v>46003</v>
      </c>
      <c r="C825" s="0" t="s">
        <v>639</v>
      </c>
      <c r="D825" s="0" t="n">
        <v>7</v>
      </c>
      <c r="E825" s="0" t="s">
        <v>2352</v>
      </c>
      <c r="F825" s="3" t="n">
        <f aca="false">D825*_xlfn.XLOOKUP(C825,Item_Master!A:A,Item_Master!G:G)</f>
        <v>4130</v>
      </c>
      <c r="G825" s="0" t="str">
        <f aca="false">TEXT(B825,"MMM YYYY")</f>
        <v>Dec 2025</v>
      </c>
    </row>
    <row r="826" customFormat="false" ht="15" hidden="false" customHeight="false" outlineLevel="0" collapsed="false">
      <c r="A826" s="0" t="s">
        <v>2353</v>
      </c>
      <c r="B826" s="4" t="n">
        <v>46004</v>
      </c>
      <c r="C826" s="0" t="s">
        <v>64</v>
      </c>
      <c r="D826" s="0" t="n">
        <v>6</v>
      </c>
      <c r="E826" s="0" t="s">
        <v>2354</v>
      </c>
      <c r="F826" s="3" t="n">
        <f aca="false">D826*_xlfn.XLOOKUP(C826,Item_Master!A:A,Item_Master!G:G)</f>
        <v>9240</v>
      </c>
      <c r="G826" s="0" t="str">
        <f aca="false">TEXT(B826,"MMM YYYY")</f>
        <v>Dec 2025</v>
      </c>
    </row>
    <row r="827" customFormat="false" ht="15" hidden="false" customHeight="false" outlineLevel="0" collapsed="false">
      <c r="A827" s="0" t="s">
        <v>2355</v>
      </c>
      <c r="B827" s="4" t="n">
        <v>46004</v>
      </c>
      <c r="C827" s="0" t="s">
        <v>193</v>
      </c>
      <c r="D827" s="0" t="n">
        <v>4</v>
      </c>
      <c r="E827" s="0" t="s">
        <v>2356</v>
      </c>
      <c r="F827" s="3" t="n">
        <f aca="false">D827*_xlfn.XLOOKUP(C827,Item_Master!A:A,Item_Master!G:G)</f>
        <v>76120</v>
      </c>
      <c r="G827" s="0" t="str">
        <f aca="false">TEXT(B827,"MMM YYYY")</f>
        <v>Dec 2025</v>
      </c>
    </row>
    <row r="828" customFormat="false" ht="15" hidden="false" customHeight="false" outlineLevel="0" collapsed="false">
      <c r="A828" s="0" t="s">
        <v>2357</v>
      </c>
      <c r="B828" s="4" t="n">
        <v>46004</v>
      </c>
      <c r="C828" s="0" t="s">
        <v>304</v>
      </c>
      <c r="D828" s="0" t="n">
        <v>30</v>
      </c>
      <c r="E828" s="0" t="s">
        <v>2358</v>
      </c>
      <c r="F828" s="3" t="n">
        <f aca="false">D828*_xlfn.XLOOKUP(C828,Item_Master!A:A,Item_Master!G:G)</f>
        <v>3000</v>
      </c>
      <c r="G828" s="0" t="str">
        <f aca="false">TEXT(B828,"MMM YYYY")</f>
        <v>Dec 2025</v>
      </c>
    </row>
    <row r="829" customFormat="false" ht="15" hidden="false" customHeight="false" outlineLevel="0" collapsed="false">
      <c r="A829" s="0" t="s">
        <v>2359</v>
      </c>
      <c r="B829" s="4" t="n">
        <v>46004</v>
      </c>
      <c r="C829" s="0" t="s">
        <v>304</v>
      </c>
      <c r="D829" s="0" t="n">
        <v>25</v>
      </c>
      <c r="E829" s="0" t="s">
        <v>2360</v>
      </c>
      <c r="F829" s="3" t="n">
        <f aca="false">D829*_xlfn.XLOOKUP(C829,Item_Master!A:A,Item_Master!G:G)</f>
        <v>2500</v>
      </c>
      <c r="G829" s="0" t="str">
        <f aca="false">TEXT(B829,"MMM YYYY")</f>
        <v>Dec 2025</v>
      </c>
    </row>
    <row r="830" customFormat="false" ht="15" hidden="false" customHeight="false" outlineLevel="0" collapsed="false">
      <c r="A830" s="0" t="s">
        <v>2361</v>
      </c>
      <c r="B830" s="4" t="n">
        <v>46004</v>
      </c>
      <c r="C830" s="0" t="s">
        <v>312</v>
      </c>
      <c r="D830" s="0" t="n">
        <v>40</v>
      </c>
      <c r="E830" s="0" t="s">
        <v>2362</v>
      </c>
      <c r="F830" s="3" t="n">
        <f aca="false">D830*_xlfn.XLOOKUP(C830,Item_Master!A:A,Item_Master!G:G)</f>
        <v>33200</v>
      </c>
      <c r="G830" s="0" t="str">
        <f aca="false">TEXT(B830,"MMM YYYY")</f>
        <v>Dec 2025</v>
      </c>
    </row>
    <row r="831" customFormat="false" ht="15" hidden="false" customHeight="false" outlineLevel="0" collapsed="false">
      <c r="A831" s="0" t="s">
        <v>2363</v>
      </c>
      <c r="B831" s="4" t="n">
        <v>46004</v>
      </c>
      <c r="C831" s="0" t="s">
        <v>374</v>
      </c>
      <c r="D831" s="0" t="n">
        <v>1</v>
      </c>
      <c r="E831" s="0" t="s">
        <v>1218</v>
      </c>
      <c r="F831" s="3" t="n">
        <f aca="false">D831*_xlfn.XLOOKUP(C831,Item_Master!A:A,Item_Master!G:G)</f>
        <v>1910</v>
      </c>
      <c r="G831" s="0" t="str">
        <f aca="false">TEXT(B831,"MMM YYYY")</f>
        <v>Dec 2025</v>
      </c>
    </row>
    <row r="832" customFormat="false" ht="15" hidden="false" customHeight="false" outlineLevel="0" collapsed="false">
      <c r="A832" s="0" t="s">
        <v>2364</v>
      </c>
      <c r="B832" s="4" t="n">
        <v>46004</v>
      </c>
      <c r="C832" s="0" t="s">
        <v>380</v>
      </c>
      <c r="D832" s="0" t="n">
        <v>24</v>
      </c>
      <c r="E832" s="0" t="s">
        <v>2365</v>
      </c>
      <c r="F832" s="3" t="n">
        <f aca="false">D832*_xlfn.XLOOKUP(C832,Item_Master!A:A,Item_Master!G:G)</f>
        <v>76080</v>
      </c>
      <c r="G832" s="0" t="str">
        <f aca="false">TEXT(B832,"MMM YYYY")</f>
        <v>Dec 2025</v>
      </c>
    </row>
    <row r="833" customFormat="false" ht="15" hidden="false" customHeight="false" outlineLevel="0" collapsed="false">
      <c r="A833" s="0" t="s">
        <v>2366</v>
      </c>
      <c r="B833" s="4" t="n">
        <v>46004</v>
      </c>
      <c r="C833" s="0" t="s">
        <v>530</v>
      </c>
      <c r="D833" s="0" t="n">
        <v>23</v>
      </c>
      <c r="E833" s="0" t="s">
        <v>2367</v>
      </c>
      <c r="F833" s="3" t="n">
        <f aca="false">D833*_xlfn.XLOOKUP(C833,Item_Master!A:A,Item_Master!G:G)</f>
        <v>268870</v>
      </c>
      <c r="G833" s="0" t="str">
        <f aca="false">TEXT(B833,"MMM YYYY")</f>
        <v>Dec 2025</v>
      </c>
    </row>
    <row r="834" customFormat="false" ht="15" hidden="false" customHeight="false" outlineLevel="0" collapsed="false">
      <c r="A834" s="0" t="s">
        <v>2368</v>
      </c>
      <c r="B834" s="4" t="n">
        <v>46004</v>
      </c>
      <c r="C834" s="0" t="s">
        <v>537</v>
      </c>
      <c r="D834" s="0" t="n">
        <v>8</v>
      </c>
      <c r="E834" s="0" t="s">
        <v>2369</v>
      </c>
      <c r="F834" s="3" t="n">
        <f aca="false">D834*_xlfn.XLOOKUP(C834,Item_Master!A:A,Item_Master!G:G)</f>
        <v>118080</v>
      </c>
      <c r="G834" s="0" t="str">
        <f aca="false">TEXT(B834,"MMM YYYY")</f>
        <v>Dec 2025</v>
      </c>
    </row>
    <row r="835" customFormat="false" ht="15" hidden="false" customHeight="false" outlineLevel="0" collapsed="false">
      <c r="A835" s="0" t="s">
        <v>2370</v>
      </c>
      <c r="B835" s="4" t="n">
        <v>46004</v>
      </c>
      <c r="C835" s="0" t="s">
        <v>557</v>
      </c>
      <c r="D835" s="0" t="n">
        <v>6</v>
      </c>
      <c r="E835" s="0" t="s">
        <v>2371</v>
      </c>
      <c r="F835" s="3" t="n">
        <f aca="false">D835*_xlfn.XLOOKUP(C835,Item_Master!A:A,Item_Master!G:G)</f>
        <v>6480</v>
      </c>
      <c r="G835" s="0" t="str">
        <f aca="false">TEXT(B835,"MMM YYYY")</f>
        <v>Dec 2025</v>
      </c>
    </row>
    <row r="836" customFormat="false" ht="15" hidden="false" customHeight="false" outlineLevel="0" collapsed="false">
      <c r="A836" s="0" t="s">
        <v>2372</v>
      </c>
      <c r="B836" s="4" t="n">
        <v>46004</v>
      </c>
      <c r="C836" s="0" t="s">
        <v>562</v>
      </c>
      <c r="D836" s="0" t="n">
        <v>25</v>
      </c>
      <c r="E836" s="0" t="s">
        <v>2373</v>
      </c>
      <c r="F836" s="3" t="n">
        <f aca="false">D836*_xlfn.XLOOKUP(C836,Item_Master!A:A,Item_Master!G:G)</f>
        <v>35750</v>
      </c>
      <c r="G836" s="0" t="str">
        <f aca="false">TEXT(B836,"MMM YYYY")</f>
        <v>Dec 2025</v>
      </c>
    </row>
    <row r="837" customFormat="false" ht="15" hidden="false" customHeight="false" outlineLevel="0" collapsed="false">
      <c r="A837" s="0" t="s">
        <v>2374</v>
      </c>
      <c r="B837" s="4" t="n">
        <v>46004</v>
      </c>
      <c r="C837" s="0" t="s">
        <v>637</v>
      </c>
      <c r="D837" s="0" t="n">
        <v>7</v>
      </c>
      <c r="E837" s="0" t="s">
        <v>2375</v>
      </c>
      <c r="F837" s="3" t="n">
        <f aca="false">D837*_xlfn.XLOOKUP(C837,Item_Master!A:A,Item_Master!G:G)</f>
        <v>3570</v>
      </c>
      <c r="G837" s="0" t="str">
        <f aca="false">TEXT(B837,"MMM YYYY")</f>
        <v>Dec 2025</v>
      </c>
    </row>
    <row r="838" customFormat="false" ht="15" hidden="false" customHeight="false" outlineLevel="0" collapsed="false">
      <c r="A838" s="0" t="s">
        <v>2376</v>
      </c>
      <c r="B838" s="4" t="n">
        <v>46005</v>
      </c>
      <c r="C838" s="0" t="s">
        <v>32</v>
      </c>
      <c r="D838" s="0" t="n">
        <v>36</v>
      </c>
      <c r="E838" s="0" t="s">
        <v>2377</v>
      </c>
      <c r="F838" s="3" t="n">
        <f aca="false">D838*_xlfn.XLOOKUP(C838,Item_Master!A:A,Item_Master!G:G)</f>
        <v>146160</v>
      </c>
      <c r="G838" s="0" t="str">
        <f aca="false">TEXT(B838,"MMM YYYY")</f>
        <v>Dec 2025</v>
      </c>
    </row>
    <row r="839" customFormat="false" ht="15" hidden="false" customHeight="false" outlineLevel="0" collapsed="false">
      <c r="A839" s="0" t="s">
        <v>2378</v>
      </c>
      <c r="B839" s="4" t="n">
        <v>46005</v>
      </c>
      <c r="C839" s="0" t="s">
        <v>77</v>
      </c>
      <c r="D839" s="0" t="n">
        <v>36</v>
      </c>
      <c r="E839" s="0" t="s">
        <v>2379</v>
      </c>
      <c r="F839" s="3" t="n">
        <f aca="false">D839*_xlfn.XLOOKUP(C839,Item_Master!A:A,Item_Master!G:G)</f>
        <v>34200</v>
      </c>
      <c r="G839" s="0" t="str">
        <f aca="false">TEXT(B839,"MMM YYYY")</f>
        <v>Dec 2025</v>
      </c>
    </row>
    <row r="840" customFormat="false" ht="15" hidden="false" customHeight="false" outlineLevel="0" collapsed="false">
      <c r="A840" s="0" t="s">
        <v>2380</v>
      </c>
      <c r="B840" s="4" t="n">
        <v>46005</v>
      </c>
      <c r="C840" s="0" t="s">
        <v>77</v>
      </c>
      <c r="D840" s="0" t="n">
        <v>1</v>
      </c>
      <c r="E840" s="0" t="s">
        <v>2381</v>
      </c>
      <c r="F840" s="3" t="n">
        <f aca="false">D840*_xlfn.XLOOKUP(C840,Item_Master!A:A,Item_Master!G:G)</f>
        <v>950</v>
      </c>
      <c r="G840" s="0" t="str">
        <f aca="false">TEXT(B840,"MMM YYYY")</f>
        <v>Dec 2025</v>
      </c>
    </row>
    <row r="841" customFormat="false" ht="15" hidden="false" customHeight="false" outlineLevel="0" collapsed="false">
      <c r="A841" s="0" t="s">
        <v>2382</v>
      </c>
      <c r="B841" s="4" t="n">
        <v>46005</v>
      </c>
      <c r="C841" s="0" t="s">
        <v>81</v>
      </c>
      <c r="D841" s="0" t="n">
        <v>28</v>
      </c>
      <c r="E841" s="0" t="s">
        <v>2383</v>
      </c>
      <c r="F841" s="3" t="n">
        <f aca="false">D841*_xlfn.XLOOKUP(C841,Item_Master!A:A,Item_Master!G:G)</f>
        <v>78960</v>
      </c>
      <c r="G841" s="0" t="str">
        <f aca="false">TEXT(B841,"MMM YYYY")</f>
        <v>Dec 2025</v>
      </c>
    </row>
    <row r="842" customFormat="false" ht="15" hidden="false" customHeight="false" outlineLevel="0" collapsed="false">
      <c r="A842" s="0" t="s">
        <v>2384</v>
      </c>
      <c r="B842" s="4" t="n">
        <v>46005</v>
      </c>
      <c r="C842" s="0" t="s">
        <v>308</v>
      </c>
      <c r="D842" s="0" t="n">
        <v>11</v>
      </c>
      <c r="E842" s="0" t="s">
        <v>2385</v>
      </c>
      <c r="F842" s="3" t="n">
        <f aca="false">D842*_xlfn.XLOOKUP(C842,Item_Master!A:A,Item_Master!G:G)</f>
        <v>2090</v>
      </c>
      <c r="G842" s="0" t="str">
        <f aca="false">TEXT(B842,"MMM YYYY")</f>
        <v>Dec 2025</v>
      </c>
    </row>
    <row r="843" customFormat="false" ht="15" hidden="false" customHeight="false" outlineLevel="0" collapsed="false">
      <c r="A843" s="0" t="s">
        <v>2386</v>
      </c>
      <c r="B843" s="4" t="n">
        <v>46005</v>
      </c>
      <c r="C843" s="0" t="s">
        <v>336</v>
      </c>
      <c r="D843" s="0" t="n">
        <v>4</v>
      </c>
      <c r="E843" s="0" t="s">
        <v>2387</v>
      </c>
      <c r="F843" s="3" t="n">
        <f aca="false">D843*_xlfn.XLOOKUP(C843,Item_Master!A:A,Item_Master!G:G)</f>
        <v>13640</v>
      </c>
      <c r="G843" s="0" t="str">
        <f aca="false">TEXT(B843,"MMM YYYY")</f>
        <v>Dec 2025</v>
      </c>
    </row>
    <row r="844" customFormat="false" ht="15" hidden="false" customHeight="false" outlineLevel="0" collapsed="false">
      <c r="A844" s="0" t="s">
        <v>2388</v>
      </c>
      <c r="B844" s="4" t="n">
        <v>46005</v>
      </c>
      <c r="C844" s="0" t="s">
        <v>622</v>
      </c>
      <c r="D844" s="0" t="n">
        <v>5</v>
      </c>
      <c r="E844" s="0" t="s">
        <v>2389</v>
      </c>
      <c r="F844" s="3" t="n">
        <f aca="false">D844*_xlfn.XLOOKUP(C844,Item_Master!A:A,Item_Master!G:G)</f>
        <v>5550</v>
      </c>
      <c r="G844" s="0" t="str">
        <f aca="false">TEXT(B844,"MMM YYYY")</f>
        <v>Dec 2025</v>
      </c>
    </row>
    <row r="845" customFormat="false" ht="15" hidden="false" customHeight="false" outlineLevel="0" collapsed="false">
      <c r="A845" s="0" t="s">
        <v>2390</v>
      </c>
      <c r="B845" s="4" t="n">
        <v>46006</v>
      </c>
      <c r="C845" s="0" t="s">
        <v>44</v>
      </c>
      <c r="D845" s="0" t="n">
        <v>22</v>
      </c>
      <c r="E845" s="0" t="s">
        <v>2391</v>
      </c>
      <c r="F845" s="3" t="n">
        <f aca="false">D845*_xlfn.XLOOKUP(C845,Item_Master!A:A,Item_Master!G:G)</f>
        <v>35860</v>
      </c>
      <c r="G845" s="0" t="str">
        <f aca="false">TEXT(B845,"MMM YYYY")</f>
        <v>Dec 2025</v>
      </c>
    </row>
    <row r="846" customFormat="false" ht="15" hidden="false" customHeight="false" outlineLevel="0" collapsed="false">
      <c r="A846" s="0" t="s">
        <v>2392</v>
      </c>
      <c r="B846" s="4" t="n">
        <v>46006</v>
      </c>
      <c r="C846" s="0" t="s">
        <v>75</v>
      </c>
      <c r="D846" s="0" t="n">
        <v>3</v>
      </c>
      <c r="E846" s="0" t="s">
        <v>2393</v>
      </c>
      <c r="F846" s="3" t="n">
        <f aca="false">D846*_xlfn.XLOOKUP(C846,Item_Master!A:A,Item_Master!G:G)</f>
        <v>7020</v>
      </c>
      <c r="G846" s="0" t="str">
        <f aca="false">TEXT(B846,"MMM YYYY")</f>
        <v>Dec 2025</v>
      </c>
    </row>
    <row r="847" customFormat="false" ht="15" hidden="false" customHeight="false" outlineLevel="0" collapsed="false">
      <c r="A847" s="0" t="s">
        <v>2394</v>
      </c>
      <c r="B847" s="4" t="n">
        <v>46006</v>
      </c>
      <c r="C847" s="0" t="s">
        <v>139</v>
      </c>
      <c r="D847" s="0" t="n">
        <v>2</v>
      </c>
      <c r="E847" s="0" t="s">
        <v>2395</v>
      </c>
      <c r="F847" s="3" t="n">
        <f aca="false">D847*_xlfn.XLOOKUP(C847,Item_Master!A:A,Item_Master!G:G)</f>
        <v>40640</v>
      </c>
      <c r="G847" s="0" t="str">
        <f aca="false">TEXT(B847,"MMM YYYY")</f>
        <v>Dec 2025</v>
      </c>
    </row>
    <row r="848" customFormat="false" ht="15" hidden="false" customHeight="false" outlineLevel="0" collapsed="false">
      <c r="A848" s="0" t="s">
        <v>2396</v>
      </c>
      <c r="B848" s="4" t="n">
        <v>46006</v>
      </c>
      <c r="C848" s="0" t="s">
        <v>372</v>
      </c>
      <c r="D848" s="0" t="n">
        <v>8</v>
      </c>
      <c r="E848" s="0" t="s">
        <v>2397</v>
      </c>
      <c r="F848" s="3" t="n">
        <f aca="false">D848*_xlfn.XLOOKUP(C848,Item_Master!A:A,Item_Master!G:G)</f>
        <v>35600</v>
      </c>
      <c r="G848" s="0" t="str">
        <f aca="false">TEXT(B848,"MMM YYYY")</f>
        <v>Dec 2025</v>
      </c>
    </row>
    <row r="849" customFormat="false" ht="15" hidden="false" customHeight="false" outlineLevel="0" collapsed="false">
      <c r="A849" s="0" t="s">
        <v>2398</v>
      </c>
      <c r="B849" s="4" t="n">
        <v>46006</v>
      </c>
      <c r="C849" s="0" t="s">
        <v>419</v>
      </c>
      <c r="D849" s="0" t="n">
        <v>36</v>
      </c>
      <c r="E849" s="0" t="s">
        <v>2399</v>
      </c>
      <c r="F849" s="3" t="n">
        <f aca="false">D849*_xlfn.XLOOKUP(C849,Item_Master!A:A,Item_Master!G:G)</f>
        <v>74520</v>
      </c>
      <c r="G849" s="0" t="str">
        <f aca="false">TEXT(B849,"MMM YYYY")</f>
        <v>Dec 2025</v>
      </c>
    </row>
    <row r="850" customFormat="false" ht="15" hidden="false" customHeight="false" outlineLevel="0" collapsed="false">
      <c r="A850" s="0" t="s">
        <v>2400</v>
      </c>
      <c r="B850" s="4" t="n">
        <v>46006</v>
      </c>
      <c r="C850" s="0" t="s">
        <v>421</v>
      </c>
      <c r="D850" s="0" t="n">
        <v>1</v>
      </c>
      <c r="E850" s="0" t="s">
        <v>2401</v>
      </c>
      <c r="F850" s="3" t="n">
        <f aca="false">D850*_xlfn.XLOOKUP(C850,Item_Master!A:A,Item_Master!G:G)</f>
        <v>170</v>
      </c>
      <c r="G850" s="0" t="str">
        <f aca="false">TEXT(B850,"MMM YYYY")</f>
        <v>Dec 2025</v>
      </c>
    </row>
    <row r="851" customFormat="false" ht="15" hidden="false" customHeight="false" outlineLevel="0" collapsed="false">
      <c r="A851" s="0" t="s">
        <v>2402</v>
      </c>
      <c r="B851" s="4" t="n">
        <v>46006</v>
      </c>
      <c r="C851" s="0" t="s">
        <v>608</v>
      </c>
      <c r="D851" s="0" t="n">
        <v>16</v>
      </c>
      <c r="E851" s="0" t="s">
        <v>2403</v>
      </c>
      <c r="F851" s="3" t="n">
        <f aca="false">D851*_xlfn.XLOOKUP(C851,Item_Master!A:A,Item_Master!G:G)</f>
        <v>25440</v>
      </c>
      <c r="G851" s="0" t="str">
        <f aca="false">TEXT(B851,"MMM YYYY")</f>
        <v>Dec 2025</v>
      </c>
    </row>
    <row r="852" customFormat="false" ht="15" hidden="false" customHeight="false" outlineLevel="0" collapsed="false">
      <c r="A852" s="0" t="s">
        <v>2404</v>
      </c>
      <c r="B852" s="4" t="n">
        <v>46006</v>
      </c>
      <c r="C852" s="0" t="s">
        <v>620</v>
      </c>
      <c r="D852" s="0" t="n">
        <v>26</v>
      </c>
      <c r="E852" s="0" t="s">
        <v>2405</v>
      </c>
      <c r="F852" s="3" t="n">
        <f aca="false">D852*_xlfn.XLOOKUP(C852,Item_Master!A:A,Item_Master!G:G)</f>
        <v>31980</v>
      </c>
      <c r="G852" s="0" t="str">
        <f aca="false">TEXT(B852,"MMM YYYY")</f>
        <v>Dec 2025</v>
      </c>
    </row>
    <row r="853" customFormat="false" ht="15" hidden="false" customHeight="false" outlineLevel="0" collapsed="false">
      <c r="A853" s="0" t="s">
        <v>2406</v>
      </c>
      <c r="B853" s="4" t="n">
        <v>46007</v>
      </c>
      <c r="C853" s="0" t="s">
        <v>114</v>
      </c>
      <c r="D853" s="0" t="n">
        <v>37</v>
      </c>
      <c r="E853" s="0" t="s">
        <v>2407</v>
      </c>
      <c r="F853" s="3" t="n">
        <f aca="false">D853*_xlfn.XLOOKUP(C853,Item_Master!A:A,Item_Master!G:G)</f>
        <v>21830</v>
      </c>
      <c r="G853" s="0" t="str">
        <f aca="false">TEXT(B853,"MMM YYYY")</f>
        <v>Dec 2025</v>
      </c>
    </row>
    <row r="854" customFormat="false" ht="15" hidden="false" customHeight="false" outlineLevel="0" collapsed="false">
      <c r="A854" s="0" t="s">
        <v>2408</v>
      </c>
      <c r="B854" s="4" t="n">
        <v>46007</v>
      </c>
      <c r="C854" s="0" t="s">
        <v>154</v>
      </c>
      <c r="D854" s="0" t="n">
        <v>3</v>
      </c>
      <c r="E854" s="0" t="s">
        <v>2409</v>
      </c>
      <c r="F854" s="3" t="n">
        <f aca="false">D854*_xlfn.XLOOKUP(C854,Item_Master!A:A,Item_Master!G:G)</f>
        <v>540</v>
      </c>
      <c r="G854" s="0" t="str">
        <f aca="false">TEXT(B854,"MMM YYYY")</f>
        <v>Dec 2025</v>
      </c>
    </row>
    <row r="855" customFormat="false" ht="15" hidden="false" customHeight="false" outlineLevel="0" collapsed="false">
      <c r="A855" s="0" t="s">
        <v>2410</v>
      </c>
      <c r="B855" s="4" t="n">
        <v>46007</v>
      </c>
      <c r="C855" s="0" t="s">
        <v>245</v>
      </c>
      <c r="D855" s="0" t="n">
        <v>1</v>
      </c>
      <c r="E855" s="0" t="s">
        <v>2411</v>
      </c>
      <c r="F855" s="3" t="n">
        <f aca="false">D855*_xlfn.XLOOKUP(C855,Item_Master!A:A,Item_Master!G:G)</f>
        <v>2280</v>
      </c>
      <c r="G855" s="0" t="str">
        <f aca="false">TEXT(B855,"MMM YYYY")</f>
        <v>Dec 2025</v>
      </c>
    </row>
    <row r="856" customFormat="false" ht="15" hidden="false" customHeight="false" outlineLevel="0" collapsed="false">
      <c r="A856" s="0" t="s">
        <v>2412</v>
      </c>
      <c r="B856" s="4" t="n">
        <v>46007</v>
      </c>
      <c r="C856" s="0" t="s">
        <v>349</v>
      </c>
      <c r="D856" s="0" t="n">
        <v>10</v>
      </c>
      <c r="E856" s="0" t="s">
        <v>2413</v>
      </c>
      <c r="F856" s="3" t="n">
        <f aca="false">D856*_xlfn.XLOOKUP(C856,Item_Master!A:A,Item_Master!G:G)</f>
        <v>28300</v>
      </c>
      <c r="G856" s="0" t="str">
        <f aca="false">TEXT(B856,"MMM YYYY")</f>
        <v>Dec 2025</v>
      </c>
    </row>
    <row r="857" customFormat="false" ht="15" hidden="false" customHeight="false" outlineLevel="0" collapsed="false">
      <c r="A857" s="0" t="s">
        <v>2414</v>
      </c>
      <c r="B857" s="4" t="n">
        <v>46007</v>
      </c>
      <c r="C857" s="0" t="s">
        <v>357</v>
      </c>
      <c r="D857" s="0" t="n">
        <v>21</v>
      </c>
      <c r="E857" s="0" t="s">
        <v>2415</v>
      </c>
      <c r="F857" s="3" t="n">
        <f aca="false">D857*_xlfn.XLOOKUP(C857,Item_Master!A:A,Item_Master!G:G)</f>
        <v>230370</v>
      </c>
      <c r="G857" s="0" t="str">
        <f aca="false">TEXT(B857,"MMM YYYY")</f>
        <v>Dec 2025</v>
      </c>
    </row>
    <row r="858" customFormat="false" ht="15" hidden="false" customHeight="false" outlineLevel="0" collapsed="false">
      <c r="A858" s="0" t="s">
        <v>2416</v>
      </c>
      <c r="B858" s="4" t="n">
        <v>46007</v>
      </c>
      <c r="C858" s="0" t="s">
        <v>359</v>
      </c>
      <c r="D858" s="0" t="n">
        <v>10</v>
      </c>
      <c r="E858" s="0" t="s">
        <v>2417</v>
      </c>
      <c r="F858" s="3" t="n">
        <f aca="false">D858*_xlfn.XLOOKUP(C858,Item_Master!A:A,Item_Master!G:G)</f>
        <v>5500</v>
      </c>
      <c r="G858" s="0" t="str">
        <f aca="false">TEXT(B858,"MMM YYYY")</f>
        <v>Dec 2025</v>
      </c>
    </row>
    <row r="859" customFormat="false" ht="15" hidden="false" customHeight="false" outlineLevel="0" collapsed="false">
      <c r="A859" s="0" t="s">
        <v>2418</v>
      </c>
      <c r="B859" s="4" t="n">
        <v>46007</v>
      </c>
      <c r="C859" s="0" t="s">
        <v>467</v>
      </c>
      <c r="D859" s="0" t="n">
        <v>8</v>
      </c>
      <c r="E859" s="0" t="s">
        <v>2419</v>
      </c>
      <c r="F859" s="3" t="n">
        <f aca="false">D859*_xlfn.XLOOKUP(C859,Item_Master!A:A,Item_Master!G:G)</f>
        <v>57040</v>
      </c>
      <c r="G859" s="0" t="str">
        <f aca="false">TEXT(B859,"MMM YYYY")</f>
        <v>Dec 2025</v>
      </c>
    </row>
    <row r="860" customFormat="false" ht="15" hidden="false" customHeight="false" outlineLevel="0" collapsed="false">
      <c r="A860" s="0" t="s">
        <v>2420</v>
      </c>
      <c r="B860" s="4" t="n">
        <v>46007</v>
      </c>
      <c r="C860" s="0" t="s">
        <v>513</v>
      </c>
      <c r="D860" s="0" t="n">
        <v>4</v>
      </c>
      <c r="E860" s="0" t="s">
        <v>2421</v>
      </c>
      <c r="F860" s="3" t="n">
        <f aca="false">D860*_xlfn.XLOOKUP(C860,Item_Master!A:A,Item_Master!G:G)</f>
        <v>9200</v>
      </c>
      <c r="G860" s="0" t="str">
        <f aca="false">TEXT(B860,"MMM YYYY")</f>
        <v>Dec 2025</v>
      </c>
    </row>
    <row r="861" customFormat="false" ht="15" hidden="false" customHeight="false" outlineLevel="0" collapsed="false">
      <c r="A861" s="0" t="s">
        <v>2422</v>
      </c>
      <c r="B861" s="4" t="n">
        <v>46007</v>
      </c>
      <c r="C861" s="0" t="s">
        <v>513</v>
      </c>
      <c r="D861" s="0" t="n">
        <v>7</v>
      </c>
      <c r="E861" s="0" t="s">
        <v>2423</v>
      </c>
      <c r="F861" s="3" t="n">
        <f aca="false">D861*_xlfn.XLOOKUP(C861,Item_Master!A:A,Item_Master!G:G)</f>
        <v>16100</v>
      </c>
      <c r="G861" s="0" t="str">
        <f aca="false">TEXT(B861,"MMM YYYY")</f>
        <v>Dec 2025</v>
      </c>
    </row>
    <row r="862" customFormat="false" ht="15" hidden="false" customHeight="false" outlineLevel="0" collapsed="false">
      <c r="A862" s="0" t="s">
        <v>2424</v>
      </c>
      <c r="B862" s="4" t="n">
        <v>46007</v>
      </c>
      <c r="C862" s="0" t="s">
        <v>515</v>
      </c>
      <c r="D862" s="0" t="n">
        <v>22</v>
      </c>
      <c r="E862" s="0" t="s">
        <v>2425</v>
      </c>
      <c r="F862" s="3" t="n">
        <f aca="false">D862*_xlfn.XLOOKUP(C862,Item_Master!A:A,Item_Master!G:G)</f>
        <v>20680</v>
      </c>
      <c r="G862" s="0" t="str">
        <f aca="false">TEXT(B862,"MMM YYYY")</f>
        <v>Dec 2025</v>
      </c>
    </row>
    <row r="863" customFormat="false" ht="15" hidden="false" customHeight="false" outlineLevel="0" collapsed="false">
      <c r="A863" s="0" t="s">
        <v>2426</v>
      </c>
      <c r="B863" s="4" t="n">
        <v>46007</v>
      </c>
      <c r="C863" s="0" t="s">
        <v>529</v>
      </c>
      <c r="D863" s="0" t="n">
        <v>26</v>
      </c>
      <c r="E863" s="0" t="s">
        <v>2427</v>
      </c>
      <c r="F863" s="3" t="n">
        <f aca="false">D863*_xlfn.XLOOKUP(C863,Item_Master!A:A,Item_Master!G:G)</f>
        <v>305760</v>
      </c>
      <c r="G863" s="0" t="str">
        <f aca="false">TEXT(B863,"MMM YYYY")</f>
        <v>Dec 2025</v>
      </c>
    </row>
    <row r="864" customFormat="false" ht="15" hidden="false" customHeight="false" outlineLevel="0" collapsed="false">
      <c r="A864" s="0" t="s">
        <v>2428</v>
      </c>
      <c r="B864" s="4" t="n">
        <v>46007</v>
      </c>
      <c r="C864" s="0" t="s">
        <v>530</v>
      </c>
      <c r="D864" s="0" t="n">
        <v>32</v>
      </c>
      <c r="E864" s="0" t="s">
        <v>2429</v>
      </c>
      <c r="F864" s="3" t="n">
        <f aca="false">D864*_xlfn.XLOOKUP(C864,Item_Master!A:A,Item_Master!G:G)</f>
        <v>374080</v>
      </c>
      <c r="G864" s="0" t="str">
        <f aca="false">TEXT(B864,"MMM YYYY")</f>
        <v>Dec 2025</v>
      </c>
    </row>
    <row r="865" customFormat="false" ht="15" hidden="false" customHeight="false" outlineLevel="0" collapsed="false">
      <c r="A865" s="0" t="s">
        <v>2430</v>
      </c>
      <c r="B865" s="4" t="n">
        <v>46007</v>
      </c>
      <c r="C865" s="0" t="s">
        <v>547</v>
      </c>
      <c r="D865" s="0" t="n">
        <v>6</v>
      </c>
      <c r="E865" s="0" t="s">
        <v>2431</v>
      </c>
      <c r="F865" s="3" t="n">
        <f aca="false">D865*_xlfn.XLOOKUP(C865,Item_Master!A:A,Item_Master!G:G)</f>
        <v>4440</v>
      </c>
      <c r="G865" s="0" t="str">
        <f aca="false">TEXT(B865,"MMM YYYY")</f>
        <v>Dec 2025</v>
      </c>
    </row>
    <row r="866" customFormat="false" ht="15" hidden="false" customHeight="false" outlineLevel="0" collapsed="false">
      <c r="A866" s="0" t="s">
        <v>2432</v>
      </c>
      <c r="B866" s="4" t="n">
        <v>46007</v>
      </c>
      <c r="C866" s="0" t="s">
        <v>592</v>
      </c>
      <c r="D866" s="0" t="n">
        <v>28</v>
      </c>
      <c r="E866" s="0" t="s">
        <v>2433</v>
      </c>
      <c r="F866" s="3" t="n">
        <f aca="false">D866*_xlfn.XLOOKUP(C866,Item_Master!A:A,Item_Master!G:G)</f>
        <v>89320</v>
      </c>
      <c r="G866" s="0" t="str">
        <f aca="false">TEXT(B866,"MMM YYYY")</f>
        <v>Dec 2025</v>
      </c>
    </row>
    <row r="867" customFormat="false" ht="15" hidden="false" customHeight="false" outlineLevel="0" collapsed="false">
      <c r="A867" s="0" t="s">
        <v>2434</v>
      </c>
      <c r="B867" s="4" t="n">
        <v>46007</v>
      </c>
      <c r="C867" s="0" t="s">
        <v>632</v>
      </c>
      <c r="D867" s="0" t="n">
        <v>1</v>
      </c>
      <c r="E867" s="0" t="s">
        <v>2435</v>
      </c>
      <c r="F867" s="3" t="n">
        <f aca="false">D867*_xlfn.XLOOKUP(C867,Item_Master!A:A,Item_Master!G:G)</f>
        <v>6450</v>
      </c>
      <c r="G867" s="0" t="str">
        <f aca="false">TEXT(B867,"MMM YYYY")</f>
        <v>Dec 2025</v>
      </c>
    </row>
    <row r="868" customFormat="false" ht="15" hidden="false" customHeight="false" outlineLevel="0" collapsed="false">
      <c r="A868" s="0" t="s">
        <v>2436</v>
      </c>
      <c r="B868" s="4" t="n">
        <v>46007</v>
      </c>
      <c r="C868" s="0" t="s">
        <v>690</v>
      </c>
      <c r="D868" s="0" t="n">
        <v>8</v>
      </c>
      <c r="E868" s="0" t="s">
        <v>2437</v>
      </c>
      <c r="F868" s="3" t="n">
        <f aca="false">D868*_xlfn.XLOOKUP(C868,Item_Master!A:A,Item_Master!G:G)</f>
        <v>6320</v>
      </c>
      <c r="G868" s="0" t="str">
        <f aca="false">TEXT(B868,"MMM YYYY")</f>
        <v>Dec 2025</v>
      </c>
    </row>
    <row r="869" customFormat="false" ht="15" hidden="false" customHeight="false" outlineLevel="0" collapsed="false">
      <c r="A869" s="0" t="s">
        <v>2438</v>
      </c>
      <c r="B869" s="4" t="n">
        <v>46008</v>
      </c>
      <c r="C869" s="0" t="s">
        <v>37</v>
      </c>
      <c r="D869" s="0" t="n">
        <v>4</v>
      </c>
      <c r="E869" s="0" t="s">
        <v>2439</v>
      </c>
      <c r="F869" s="3" t="n">
        <f aca="false">D869*_xlfn.XLOOKUP(C869,Item_Master!A:A,Item_Master!G:G)</f>
        <v>2160</v>
      </c>
      <c r="G869" s="0" t="str">
        <f aca="false">TEXT(B869,"MMM YYYY")</f>
        <v>Dec 2025</v>
      </c>
    </row>
    <row r="870" customFormat="false" ht="15" hidden="false" customHeight="false" outlineLevel="0" collapsed="false">
      <c r="A870" s="0" t="s">
        <v>2440</v>
      </c>
      <c r="B870" s="4" t="n">
        <v>46008</v>
      </c>
      <c r="C870" s="0" t="s">
        <v>168</v>
      </c>
      <c r="D870" s="0" t="n">
        <v>7</v>
      </c>
      <c r="E870" s="0" t="s">
        <v>2441</v>
      </c>
      <c r="F870" s="3" t="n">
        <f aca="false">D870*_xlfn.XLOOKUP(C870,Item_Master!A:A,Item_Master!G:G)</f>
        <v>1750</v>
      </c>
      <c r="G870" s="0" t="str">
        <f aca="false">TEXT(B870,"MMM YYYY")</f>
        <v>Dec 2025</v>
      </c>
    </row>
    <row r="871" customFormat="false" ht="15" hidden="false" customHeight="false" outlineLevel="0" collapsed="false">
      <c r="A871" s="0" t="s">
        <v>2442</v>
      </c>
      <c r="B871" s="4" t="n">
        <v>46008</v>
      </c>
      <c r="C871" s="0" t="s">
        <v>285</v>
      </c>
      <c r="D871" s="0" t="n">
        <v>17</v>
      </c>
      <c r="E871" s="0" t="s">
        <v>2443</v>
      </c>
      <c r="F871" s="3" t="n">
        <f aca="false">D871*_xlfn.XLOOKUP(C871,Item_Master!A:A,Item_Master!G:G)</f>
        <v>16660</v>
      </c>
      <c r="G871" s="0" t="str">
        <f aca="false">TEXT(B871,"MMM YYYY")</f>
        <v>Dec 2025</v>
      </c>
    </row>
    <row r="872" customFormat="false" ht="15" hidden="false" customHeight="false" outlineLevel="0" collapsed="false">
      <c r="A872" s="0" t="s">
        <v>2444</v>
      </c>
      <c r="B872" s="4" t="n">
        <v>46008</v>
      </c>
      <c r="C872" s="0" t="s">
        <v>312</v>
      </c>
      <c r="D872" s="0" t="n">
        <v>17</v>
      </c>
      <c r="E872" s="0" t="s">
        <v>2445</v>
      </c>
      <c r="F872" s="3" t="n">
        <f aca="false">D872*_xlfn.XLOOKUP(C872,Item_Master!A:A,Item_Master!G:G)</f>
        <v>14110</v>
      </c>
      <c r="G872" s="0" t="str">
        <f aca="false">TEXT(B872,"MMM YYYY")</f>
        <v>Dec 2025</v>
      </c>
    </row>
    <row r="873" customFormat="false" ht="15" hidden="false" customHeight="false" outlineLevel="0" collapsed="false">
      <c r="A873" s="0" t="s">
        <v>2446</v>
      </c>
      <c r="B873" s="4" t="n">
        <v>46008</v>
      </c>
      <c r="C873" s="0" t="s">
        <v>338</v>
      </c>
      <c r="D873" s="0" t="n">
        <v>39</v>
      </c>
      <c r="E873" s="0" t="s">
        <v>2447</v>
      </c>
      <c r="F873" s="3" t="n">
        <f aca="false">D873*_xlfn.XLOOKUP(C873,Item_Master!A:A,Item_Master!G:G)</f>
        <v>123240</v>
      </c>
      <c r="G873" s="0" t="str">
        <f aca="false">TEXT(B873,"MMM YYYY")</f>
        <v>Dec 2025</v>
      </c>
    </row>
    <row r="874" customFormat="false" ht="15" hidden="false" customHeight="false" outlineLevel="0" collapsed="false">
      <c r="A874" s="0" t="s">
        <v>2448</v>
      </c>
      <c r="B874" s="4" t="n">
        <v>46008</v>
      </c>
      <c r="C874" s="0" t="s">
        <v>389</v>
      </c>
      <c r="D874" s="0" t="n">
        <v>26</v>
      </c>
      <c r="E874" s="0" t="s">
        <v>2449</v>
      </c>
      <c r="F874" s="3" t="n">
        <f aca="false">D874*_xlfn.XLOOKUP(C874,Item_Master!A:A,Item_Master!G:G)</f>
        <v>51220</v>
      </c>
      <c r="G874" s="0" t="str">
        <f aca="false">TEXT(B874,"MMM YYYY")</f>
        <v>Dec 2025</v>
      </c>
    </row>
    <row r="875" customFormat="false" ht="15" hidden="false" customHeight="false" outlineLevel="0" collapsed="false">
      <c r="A875" s="0" t="s">
        <v>2450</v>
      </c>
      <c r="B875" s="4" t="n">
        <v>46008</v>
      </c>
      <c r="C875" s="0" t="s">
        <v>450</v>
      </c>
      <c r="D875" s="0" t="n">
        <v>27</v>
      </c>
      <c r="E875" s="0" t="s">
        <v>2451</v>
      </c>
      <c r="F875" s="3" t="n">
        <f aca="false">D875*_xlfn.XLOOKUP(C875,Item_Master!A:A,Item_Master!G:G)</f>
        <v>22950</v>
      </c>
      <c r="G875" s="0" t="str">
        <f aca="false">TEXT(B875,"MMM YYYY")</f>
        <v>Dec 2025</v>
      </c>
    </row>
    <row r="876" customFormat="false" ht="15" hidden="false" customHeight="false" outlineLevel="0" collapsed="false">
      <c r="A876" s="0" t="s">
        <v>2452</v>
      </c>
      <c r="B876" s="4" t="n">
        <v>46008</v>
      </c>
      <c r="C876" s="0" t="s">
        <v>469</v>
      </c>
      <c r="D876" s="0" t="n">
        <v>16</v>
      </c>
      <c r="E876" s="0" t="s">
        <v>2453</v>
      </c>
      <c r="F876" s="3" t="n">
        <f aca="false">D876*_xlfn.XLOOKUP(C876,Item_Master!A:A,Item_Master!G:G)</f>
        <v>66560</v>
      </c>
      <c r="G876" s="0" t="str">
        <f aca="false">TEXT(B876,"MMM YYYY")</f>
        <v>Dec 2025</v>
      </c>
    </row>
    <row r="877" customFormat="false" ht="15" hidden="false" customHeight="false" outlineLevel="0" collapsed="false">
      <c r="A877" s="0" t="s">
        <v>2454</v>
      </c>
      <c r="B877" s="4" t="n">
        <v>46008</v>
      </c>
      <c r="C877" s="0" t="s">
        <v>498</v>
      </c>
      <c r="D877" s="0" t="n">
        <v>9</v>
      </c>
      <c r="E877" s="0" t="s">
        <v>2455</v>
      </c>
      <c r="F877" s="3" t="n">
        <f aca="false">D877*_xlfn.XLOOKUP(C877,Item_Master!A:A,Item_Master!G:G)</f>
        <v>26550</v>
      </c>
      <c r="G877" s="0" t="str">
        <f aca="false">TEXT(B877,"MMM YYYY")</f>
        <v>Dec 2025</v>
      </c>
    </row>
    <row r="878" customFormat="false" ht="15" hidden="false" customHeight="false" outlineLevel="0" collapsed="false">
      <c r="A878" s="0" t="s">
        <v>2456</v>
      </c>
      <c r="B878" s="4" t="n">
        <v>46008</v>
      </c>
      <c r="C878" s="0" t="s">
        <v>516</v>
      </c>
      <c r="D878" s="0" t="n">
        <v>21</v>
      </c>
      <c r="E878" s="0" t="s">
        <v>2457</v>
      </c>
      <c r="F878" s="3" t="n">
        <f aca="false">D878*_xlfn.XLOOKUP(C878,Item_Master!A:A,Item_Master!G:G)</f>
        <v>128520</v>
      </c>
      <c r="G878" s="0" t="str">
        <f aca="false">TEXT(B878,"MMM YYYY")</f>
        <v>Dec 2025</v>
      </c>
    </row>
    <row r="879" customFormat="false" ht="15" hidden="false" customHeight="false" outlineLevel="0" collapsed="false">
      <c r="A879" s="0" t="s">
        <v>2458</v>
      </c>
      <c r="B879" s="4" t="n">
        <v>46008</v>
      </c>
      <c r="C879" s="0" t="s">
        <v>562</v>
      </c>
      <c r="D879" s="0" t="n">
        <v>34</v>
      </c>
      <c r="E879" s="0" t="s">
        <v>2459</v>
      </c>
      <c r="F879" s="3" t="n">
        <f aca="false">D879*_xlfn.XLOOKUP(C879,Item_Master!A:A,Item_Master!G:G)</f>
        <v>48620</v>
      </c>
      <c r="G879" s="0" t="str">
        <f aca="false">TEXT(B879,"MMM YYYY")</f>
        <v>Dec 2025</v>
      </c>
    </row>
    <row r="880" customFormat="false" ht="15" hidden="false" customHeight="false" outlineLevel="0" collapsed="false">
      <c r="A880" s="0" t="s">
        <v>2460</v>
      </c>
      <c r="B880" s="4" t="n">
        <v>46008</v>
      </c>
      <c r="C880" s="0" t="s">
        <v>635</v>
      </c>
      <c r="D880" s="0" t="n">
        <v>32</v>
      </c>
      <c r="E880" s="0" t="s">
        <v>2461</v>
      </c>
      <c r="F880" s="3" t="n">
        <f aca="false">D880*_xlfn.XLOOKUP(C880,Item_Master!A:A,Item_Master!G:G)</f>
        <v>678720</v>
      </c>
      <c r="G880" s="0" t="str">
        <f aca="false">TEXT(B880,"MMM YYYY")</f>
        <v>Dec 2025</v>
      </c>
    </row>
    <row r="881" customFormat="false" ht="15" hidden="false" customHeight="false" outlineLevel="0" collapsed="false">
      <c r="A881" s="0" t="s">
        <v>2462</v>
      </c>
      <c r="B881" s="4" t="n">
        <v>46008</v>
      </c>
      <c r="C881" s="0" t="s">
        <v>647</v>
      </c>
      <c r="D881" s="0" t="n">
        <v>28</v>
      </c>
      <c r="E881" s="0" t="s">
        <v>2463</v>
      </c>
      <c r="F881" s="3" t="n">
        <f aca="false">D881*_xlfn.XLOOKUP(C881,Item_Master!A:A,Item_Master!G:G)</f>
        <v>17640</v>
      </c>
      <c r="G881" s="0" t="str">
        <f aca="false">TEXT(B881,"MMM YYYY")</f>
        <v>Dec 2025</v>
      </c>
    </row>
    <row r="882" customFormat="false" ht="15" hidden="false" customHeight="false" outlineLevel="0" collapsed="false">
      <c r="A882" s="0" t="s">
        <v>2464</v>
      </c>
      <c r="B882" s="4" t="n">
        <v>46008</v>
      </c>
      <c r="C882" s="0" t="s">
        <v>647</v>
      </c>
      <c r="D882" s="0" t="n">
        <v>18</v>
      </c>
      <c r="E882" s="0" t="s">
        <v>2465</v>
      </c>
      <c r="F882" s="3" t="n">
        <f aca="false">D882*_xlfn.XLOOKUP(C882,Item_Master!A:A,Item_Master!G:G)</f>
        <v>11340</v>
      </c>
      <c r="G882" s="0" t="str">
        <f aca="false">TEXT(B882,"MMM YYYY")</f>
        <v>Dec 2025</v>
      </c>
    </row>
    <row r="883" customFormat="false" ht="15" hidden="false" customHeight="false" outlineLevel="0" collapsed="false">
      <c r="A883" s="0" t="s">
        <v>2466</v>
      </c>
      <c r="B883" s="4" t="n">
        <v>46009</v>
      </c>
      <c r="C883" s="0" t="s">
        <v>90</v>
      </c>
      <c r="D883" s="0" t="n">
        <v>16</v>
      </c>
      <c r="E883" s="0" t="s">
        <v>2467</v>
      </c>
      <c r="F883" s="3" t="n">
        <f aca="false">D883*_xlfn.XLOOKUP(C883,Item_Master!A:A,Item_Master!G:G)</f>
        <v>1920</v>
      </c>
      <c r="G883" s="0" t="str">
        <f aca="false">TEXT(B883,"MMM YYYY")</f>
        <v>Dec 2025</v>
      </c>
    </row>
    <row r="884" customFormat="false" ht="15" hidden="false" customHeight="false" outlineLevel="0" collapsed="false">
      <c r="A884" s="0" t="s">
        <v>2468</v>
      </c>
      <c r="B884" s="4" t="n">
        <v>46009</v>
      </c>
      <c r="C884" s="0" t="s">
        <v>142</v>
      </c>
      <c r="D884" s="0" t="n">
        <v>36</v>
      </c>
      <c r="E884" s="0" t="s">
        <v>2469</v>
      </c>
      <c r="F884" s="3" t="n">
        <f aca="false">D884*_xlfn.XLOOKUP(C884,Item_Master!A:A,Item_Master!G:G)</f>
        <v>49680</v>
      </c>
      <c r="G884" s="0" t="str">
        <f aca="false">TEXT(B884,"MMM YYYY")</f>
        <v>Dec 2025</v>
      </c>
    </row>
    <row r="885" customFormat="false" ht="15" hidden="false" customHeight="false" outlineLevel="0" collapsed="false">
      <c r="A885" s="0" t="s">
        <v>2470</v>
      </c>
      <c r="B885" s="4" t="n">
        <v>46009</v>
      </c>
      <c r="C885" s="0" t="s">
        <v>154</v>
      </c>
      <c r="D885" s="0" t="n">
        <v>13</v>
      </c>
      <c r="E885" s="0" t="s">
        <v>2471</v>
      </c>
      <c r="F885" s="3" t="n">
        <f aca="false">D885*_xlfn.XLOOKUP(C885,Item_Master!A:A,Item_Master!G:G)</f>
        <v>2340</v>
      </c>
      <c r="G885" s="0" t="str">
        <f aca="false">TEXT(B885,"MMM YYYY")</f>
        <v>Dec 2025</v>
      </c>
    </row>
    <row r="886" customFormat="false" ht="15" hidden="false" customHeight="false" outlineLevel="0" collapsed="false">
      <c r="A886" s="0" t="s">
        <v>2472</v>
      </c>
      <c r="B886" s="4" t="n">
        <v>46009</v>
      </c>
      <c r="C886" s="0" t="s">
        <v>209</v>
      </c>
      <c r="D886" s="0" t="n">
        <v>32</v>
      </c>
      <c r="E886" s="0" t="s">
        <v>2473</v>
      </c>
      <c r="F886" s="3" t="n">
        <f aca="false">D886*_xlfn.XLOOKUP(C886,Item_Master!A:A,Item_Master!G:G)</f>
        <v>34880</v>
      </c>
      <c r="G886" s="0" t="str">
        <f aca="false">TEXT(B886,"MMM YYYY")</f>
        <v>Dec 2025</v>
      </c>
    </row>
    <row r="887" customFormat="false" ht="15" hidden="false" customHeight="false" outlineLevel="0" collapsed="false">
      <c r="A887" s="0" t="s">
        <v>2474</v>
      </c>
      <c r="B887" s="4" t="n">
        <v>46009</v>
      </c>
      <c r="C887" s="0" t="s">
        <v>357</v>
      </c>
      <c r="D887" s="0" t="n">
        <v>14</v>
      </c>
      <c r="E887" s="0" t="s">
        <v>2475</v>
      </c>
      <c r="F887" s="3" t="n">
        <f aca="false">D887*_xlfn.XLOOKUP(C887,Item_Master!A:A,Item_Master!G:G)</f>
        <v>153580</v>
      </c>
      <c r="G887" s="0" t="str">
        <f aca="false">TEXT(B887,"MMM YYYY")</f>
        <v>Dec 2025</v>
      </c>
    </row>
    <row r="888" customFormat="false" ht="15" hidden="false" customHeight="false" outlineLevel="0" collapsed="false">
      <c r="A888" s="0" t="s">
        <v>2476</v>
      </c>
      <c r="B888" s="4" t="n">
        <v>46009</v>
      </c>
      <c r="C888" s="0" t="s">
        <v>374</v>
      </c>
      <c r="D888" s="0" t="n">
        <v>14</v>
      </c>
      <c r="E888" s="0" t="s">
        <v>2477</v>
      </c>
      <c r="F888" s="3" t="n">
        <f aca="false">D888*_xlfn.XLOOKUP(C888,Item_Master!A:A,Item_Master!G:G)</f>
        <v>26740</v>
      </c>
      <c r="G888" s="0" t="str">
        <f aca="false">TEXT(B888,"MMM YYYY")</f>
        <v>Dec 2025</v>
      </c>
    </row>
    <row r="889" customFormat="false" ht="15" hidden="false" customHeight="false" outlineLevel="0" collapsed="false">
      <c r="A889" s="0" t="s">
        <v>2478</v>
      </c>
      <c r="B889" s="4" t="n">
        <v>46009</v>
      </c>
      <c r="C889" s="0" t="s">
        <v>384</v>
      </c>
      <c r="D889" s="0" t="n">
        <v>29</v>
      </c>
      <c r="E889" s="0" t="s">
        <v>2479</v>
      </c>
      <c r="F889" s="3" t="n">
        <f aca="false">D889*_xlfn.XLOOKUP(C889,Item_Master!A:A,Item_Master!G:G)</f>
        <v>47850</v>
      </c>
      <c r="G889" s="0" t="str">
        <f aca="false">TEXT(B889,"MMM YYYY")</f>
        <v>Dec 2025</v>
      </c>
    </row>
    <row r="890" customFormat="false" ht="15" hidden="false" customHeight="false" outlineLevel="0" collapsed="false">
      <c r="A890" s="0" t="s">
        <v>2480</v>
      </c>
      <c r="B890" s="4" t="n">
        <v>46009</v>
      </c>
      <c r="C890" s="0" t="s">
        <v>396</v>
      </c>
      <c r="D890" s="0" t="n">
        <v>3</v>
      </c>
      <c r="E890" s="0" t="s">
        <v>2481</v>
      </c>
      <c r="F890" s="3" t="n">
        <f aca="false">D890*_xlfn.XLOOKUP(C890,Item_Master!A:A,Item_Master!G:G)</f>
        <v>7920</v>
      </c>
      <c r="G890" s="0" t="str">
        <f aca="false">TEXT(B890,"MMM YYYY")</f>
        <v>Dec 2025</v>
      </c>
    </row>
    <row r="891" customFormat="false" ht="15" hidden="false" customHeight="false" outlineLevel="0" collapsed="false">
      <c r="A891" s="0" t="s">
        <v>2482</v>
      </c>
      <c r="B891" s="4" t="n">
        <v>46009</v>
      </c>
      <c r="C891" s="0" t="s">
        <v>480</v>
      </c>
      <c r="D891" s="0" t="n">
        <v>24</v>
      </c>
      <c r="E891" s="0" t="s">
        <v>2483</v>
      </c>
      <c r="F891" s="3" t="n">
        <f aca="false">D891*_xlfn.XLOOKUP(C891,Item_Master!A:A,Item_Master!G:G)</f>
        <v>63120</v>
      </c>
      <c r="G891" s="0" t="str">
        <f aca="false">TEXT(B891,"MMM YYYY")</f>
        <v>Dec 2025</v>
      </c>
    </row>
    <row r="892" customFormat="false" ht="15" hidden="false" customHeight="false" outlineLevel="0" collapsed="false">
      <c r="A892" s="0" t="s">
        <v>2484</v>
      </c>
      <c r="B892" s="4" t="n">
        <v>46009</v>
      </c>
      <c r="C892" s="0" t="s">
        <v>490</v>
      </c>
      <c r="D892" s="0" t="n">
        <v>3</v>
      </c>
      <c r="E892" s="0" t="s">
        <v>2485</v>
      </c>
      <c r="F892" s="3" t="n">
        <f aca="false">D892*_xlfn.XLOOKUP(C892,Item_Master!A:A,Item_Master!G:G)</f>
        <v>13260</v>
      </c>
      <c r="G892" s="0" t="str">
        <f aca="false">TEXT(B892,"MMM YYYY")</f>
        <v>Dec 2025</v>
      </c>
    </row>
    <row r="893" customFormat="false" ht="15" hidden="false" customHeight="false" outlineLevel="0" collapsed="false">
      <c r="A893" s="0" t="s">
        <v>2486</v>
      </c>
      <c r="B893" s="4" t="n">
        <v>46009</v>
      </c>
      <c r="C893" s="0" t="s">
        <v>492</v>
      </c>
      <c r="D893" s="0" t="n">
        <v>35</v>
      </c>
      <c r="E893" s="0" t="s">
        <v>2487</v>
      </c>
      <c r="F893" s="3" t="n">
        <f aca="false">D893*_xlfn.XLOOKUP(C893,Item_Master!A:A,Item_Master!G:G)</f>
        <v>12250</v>
      </c>
      <c r="G893" s="0" t="str">
        <f aca="false">TEXT(B893,"MMM YYYY")</f>
        <v>Dec 2025</v>
      </c>
    </row>
    <row r="894" customFormat="false" ht="15" hidden="false" customHeight="false" outlineLevel="0" collapsed="false">
      <c r="A894" s="0" t="s">
        <v>2488</v>
      </c>
      <c r="B894" s="4" t="n">
        <v>46009</v>
      </c>
      <c r="C894" s="0" t="s">
        <v>496</v>
      </c>
      <c r="D894" s="0" t="n">
        <v>1</v>
      </c>
      <c r="E894" s="0" t="s">
        <v>2489</v>
      </c>
      <c r="F894" s="3" t="n">
        <f aca="false">D894*_xlfn.XLOOKUP(C894,Item_Master!A:A,Item_Master!G:G)</f>
        <v>510</v>
      </c>
      <c r="G894" s="0" t="str">
        <f aca="false">TEXT(B894,"MMM YYYY")</f>
        <v>Dec 2025</v>
      </c>
    </row>
    <row r="895" customFormat="false" ht="15" hidden="false" customHeight="false" outlineLevel="0" collapsed="false">
      <c r="A895" s="0" t="s">
        <v>2490</v>
      </c>
      <c r="B895" s="4" t="n">
        <v>46009</v>
      </c>
      <c r="C895" s="0" t="s">
        <v>559</v>
      </c>
      <c r="D895" s="0" t="n">
        <v>35</v>
      </c>
      <c r="E895" s="0" t="s">
        <v>2491</v>
      </c>
      <c r="F895" s="3" t="n">
        <f aca="false">D895*_xlfn.XLOOKUP(C895,Item_Master!A:A,Item_Master!G:G)</f>
        <v>310450</v>
      </c>
      <c r="G895" s="0" t="str">
        <f aca="false">TEXT(B895,"MMM YYYY")</f>
        <v>Dec 2025</v>
      </c>
    </row>
    <row r="896" customFormat="false" ht="15" hidden="false" customHeight="false" outlineLevel="0" collapsed="false">
      <c r="A896" s="0" t="s">
        <v>2492</v>
      </c>
      <c r="B896" s="4" t="n">
        <v>46009</v>
      </c>
      <c r="C896" s="0" t="s">
        <v>597</v>
      </c>
      <c r="D896" s="0" t="n">
        <v>21</v>
      </c>
      <c r="E896" s="0" t="s">
        <v>2493</v>
      </c>
      <c r="F896" s="3" t="n">
        <f aca="false">D896*_xlfn.XLOOKUP(C896,Item_Master!A:A,Item_Master!G:G)</f>
        <v>334530</v>
      </c>
      <c r="G896" s="0" t="str">
        <f aca="false">TEXT(B896,"MMM YYYY")</f>
        <v>Dec 2025</v>
      </c>
    </row>
    <row r="897" customFormat="false" ht="15" hidden="false" customHeight="false" outlineLevel="0" collapsed="false">
      <c r="A897" s="0" t="s">
        <v>2494</v>
      </c>
      <c r="B897" s="4" t="n">
        <v>46009</v>
      </c>
      <c r="C897" s="0" t="s">
        <v>696</v>
      </c>
      <c r="D897" s="0" t="n">
        <v>26</v>
      </c>
      <c r="E897" s="0" t="s">
        <v>2495</v>
      </c>
      <c r="F897" s="3" t="n">
        <f aca="false">D897*_xlfn.XLOOKUP(C897,Item_Master!A:A,Item_Master!G:G)</f>
        <v>16120</v>
      </c>
      <c r="G897" s="0" t="str">
        <f aca="false">TEXT(B897,"MMM YYYY")</f>
        <v>Dec 2025</v>
      </c>
    </row>
    <row r="898" customFormat="false" ht="15" hidden="false" customHeight="false" outlineLevel="0" collapsed="false">
      <c r="A898" s="0" t="s">
        <v>2496</v>
      </c>
      <c r="B898" s="4" t="n">
        <v>46010</v>
      </c>
      <c r="C898" s="0" t="s">
        <v>41</v>
      </c>
      <c r="D898" s="0" t="n">
        <v>30</v>
      </c>
      <c r="E898" s="0" t="s">
        <v>2497</v>
      </c>
      <c r="F898" s="3" t="n">
        <f aca="false">D898*_xlfn.XLOOKUP(C898,Item_Master!A:A,Item_Master!G:G)</f>
        <v>30600</v>
      </c>
      <c r="G898" s="0" t="str">
        <f aca="false">TEXT(B898,"MMM YYYY")</f>
        <v>Dec 2025</v>
      </c>
    </row>
    <row r="899" customFormat="false" ht="15" hidden="false" customHeight="false" outlineLevel="0" collapsed="false">
      <c r="A899" s="0" t="s">
        <v>2498</v>
      </c>
      <c r="B899" s="4" t="n">
        <v>46010</v>
      </c>
      <c r="C899" s="0" t="s">
        <v>47</v>
      </c>
      <c r="D899" s="0" t="n">
        <v>3</v>
      </c>
      <c r="E899" s="0" t="s">
        <v>2499</v>
      </c>
      <c r="F899" s="3" t="n">
        <f aca="false">D899*_xlfn.XLOOKUP(C899,Item_Master!A:A,Item_Master!G:G)</f>
        <v>900</v>
      </c>
      <c r="G899" s="0" t="str">
        <f aca="false">TEXT(B899,"MMM YYYY")</f>
        <v>Dec 2025</v>
      </c>
    </row>
    <row r="900" customFormat="false" ht="15" hidden="false" customHeight="false" outlineLevel="0" collapsed="false">
      <c r="A900" s="0" t="s">
        <v>2500</v>
      </c>
      <c r="B900" s="4" t="n">
        <v>46010</v>
      </c>
      <c r="C900" s="0" t="s">
        <v>112</v>
      </c>
      <c r="D900" s="0" t="n">
        <v>12</v>
      </c>
      <c r="E900" s="0" t="s">
        <v>2501</v>
      </c>
      <c r="F900" s="3" t="n">
        <f aca="false">D900*_xlfn.XLOOKUP(C900,Item_Master!A:A,Item_Master!G:G)</f>
        <v>27600</v>
      </c>
      <c r="G900" s="0" t="str">
        <f aca="false">TEXT(B900,"MMM YYYY")</f>
        <v>Dec 2025</v>
      </c>
    </row>
    <row r="901" customFormat="false" ht="15" hidden="false" customHeight="false" outlineLevel="0" collapsed="false">
      <c r="A901" s="0" t="s">
        <v>2502</v>
      </c>
      <c r="B901" s="4" t="n">
        <v>46010</v>
      </c>
      <c r="C901" s="0" t="s">
        <v>183</v>
      </c>
      <c r="D901" s="0" t="n">
        <v>39</v>
      </c>
      <c r="E901" s="0" t="s">
        <v>2503</v>
      </c>
      <c r="F901" s="3" t="n">
        <f aca="false">D901*_xlfn.XLOOKUP(C901,Item_Master!A:A,Item_Master!G:G)</f>
        <v>84240</v>
      </c>
      <c r="G901" s="0" t="str">
        <f aca="false">TEXT(B901,"MMM YYYY")</f>
        <v>Dec 2025</v>
      </c>
    </row>
    <row r="902" customFormat="false" ht="15" hidden="false" customHeight="false" outlineLevel="0" collapsed="false">
      <c r="A902" s="0" t="s">
        <v>2504</v>
      </c>
      <c r="B902" s="4" t="n">
        <v>46010</v>
      </c>
      <c r="C902" s="0" t="s">
        <v>189</v>
      </c>
      <c r="D902" s="0" t="n">
        <v>15</v>
      </c>
      <c r="E902" s="0" t="s">
        <v>2505</v>
      </c>
      <c r="F902" s="3" t="n">
        <f aca="false">D902*_xlfn.XLOOKUP(C902,Item_Master!A:A,Item_Master!G:G)</f>
        <v>72300</v>
      </c>
      <c r="G902" s="0" t="str">
        <f aca="false">TEXT(B902,"MMM YYYY")</f>
        <v>Dec 2025</v>
      </c>
    </row>
    <row r="903" customFormat="false" ht="15" hidden="false" customHeight="false" outlineLevel="0" collapsed="false">
      <c r="A903" s="0" t="s">
        <v>2506</v>
      </c>
      <c r="B903" s="4" t="n">
        <v>46010</v>
      </c>
      <c r="C903" s="0" t="s">
        <v>437</v>
      </c>
      <c r="D903" s="0" t="n">
        <v>12</v>
      </c>
      <c r="E903" s="0" t="s">
        <v>2507</v>
      </c>
      <c r="F903" s="3" t="n">
        <f aca="false">D903*_xlfn.XLOOKUP(C903,Item_Master!A:A,Item_Master!G:G)</f>
        <v>32520</v>
      </c>
      <c r="G903" s="0" t="str">
        <f aca="false">TEXT(B903,"MMM YYYY")</f>
        <v>Dec 2025</v>
      </c>
    </row>
    <row r="904" customFormat="false" ht="15" hidden="false" customHeight="false" outlineLevel="0" collapsed="false">
      <c r="A904" s="0" t="s">
        <v>2508</v>
      </c>
      <c r="B904" s="4" t="n">
        <v>46010</v>
      </c>
      <c r="C904" s="0" t="s">
        <v>448</v>
      </c>
      <c r="D904" s="0" t="n">
        <v>1</v>
      </c>
      <c r="E904" s="0" t="s">
        <v>2509</v>
      </c>
      <c r="F904" s="3" t="n">
        <f aca="false">D904*_xlfn.XLOOKUP(C904,Item_Master!A:A,Item_Master!G:G)</f>
        <v>340</v>
      </c>
      <c r="G904" s="0" t="str">
        <f aca="false">TEXT(B904,"MMM YYYY")</f>
        <v>Dec 2025</v>
      </c>
    </row>
    <row r="905" customFormat="false" ht="15" hidden="false" customHeight="false" outlineLevel="0" collapsed="false">
      <c r="A905" s="0" t="s">
        <v>2510</v>
      </c>
      <c r="B905" s="4" t="n">
        <v>46010</v>
      </c>
      <c r="C905" s="0" t="s">
        <v>511</v>
      </c>
      <c r="D905" s="0" t="n">
        <v>38</v>
      </c>
      <c r="E905" s="0" t="s">
        <v>2511</v>
      </c>
      <c r="F905" s="3" t="n">
        <f aca="false">D905*_xlfn.XLOOKUP(C905,Item_Master!A:A,Item_Master!G:G)</f>
        <v>99180</v>
      </c>
      <c r="G905" s="0" t="str">
        <f aca="false">TEXT(B905,"MMM YYYY")</f>
        <v>Dec 2025</v>
      </c>
    </row>
    <row r="906" customFormat="false" ht="15" hidden="false" customHeight="false" outlineLevel="0" collapsed="false">
      <c r="A906" s="0" t="s">
        <v>2512</v>
      </c>
      <c r="B906" s="4" t="n">
        <v>46010</v>
      </c>
      <c r="C906" s="0" t="s">
        <v>616</v>
      </c>
      <c r="D906" s="0" t="n">
        <v>17</v>
      </c>
      <c r="E906" s="0" t="s">
        <v>2513</v>
      </c>
      <c r="F906" s="3" t="n">
        <f aca="false">D906*_xlfn.XLOOKUP(C906,Item_Master!A:A,Item_Master!G:G)</f>
        <v>63920</v>
      </c>
      <c r="G906" s="0" t="str">
        <f aca="false">TEXT(B906,"MMM YYYY")</f>
        <v>Dec 2025</v>
      </c>
    </row>
    <row r="907" customFormat="false" ht="15" hidden="false" customHeight="false" outlineLevel="0" collapsed="false">
      <c r="A907" s="0" t="s">
        <v>2514</v>
      </c>
      <c r="B907" s="4" t="n">
        <v>46010</v>
      </c>
      <c r="C907" s="0" t="s">
        <v>635</v>
      </c>
      <c r="D907" s="0" t="n">
        <v>7</v>
      </c>
      <c r="E907" s="0" t="s">
        <v>2515</v>
      </c>
      <c r="F907" s="3" t="n">
        <f aca="false">D907*_xlfn.XLOOKUP(C907,Item_Master!A:A,Item_Master!G:G)</f>
        <v>148470</v>
      </c>
      <c r="G907" s="0" t="str">
        <f aca="false">TEXT(B907,"MMM YYYY")</f>
        <v>Dec 2025</v>
      </c>
    </row>
    <row r="908" customFormat="false" ht="15" hidden="false" customHeight="false" outlineLevel="0" collapsed="false">
      <c r="A908" s="0" t="s">
        <v>2516</v>
      </c>
      <c r="B908" s="4" t="n">
        <v>46010</v>
      </c>
      <c r="C908" s="0" t="s">
        <v>688</v>
      </c>
      <c r="D908" s="0" t="n">
        <v>11</v>
      </c>
      <c r="E908" s="0" t="s">
        <v>2517</v>
      </c>
      <c r="F908" s="3" t="n">
        <f aca="false">D908*_xlfn.XLOOKUP(C908,Item_Master!A:A,Item_Master!G:G)</f>
        <v>107140</v>
      </c>
      <c r="G908" s="0" t="str">
        <f aca="false">TEXT(B908,"MMM YYYY")</f>
        <v>Dec 2025</v>
      </c>
    </row>
    <row r="909" customFormat="false" ht="15" hidden="false" customHeight="false" outlineLevel="0" collapsed="false">
      <c r="A909" s="0" t="s">
        <v>2518</v>
      </c>
      <c r="B909" s="4" t="n">
        <v>46011</v>
      </c>
      <c r="C909" s="0" t="s">
        <v>83</v>
      </c>
      <c r="D909" s="0" t="n">
        <v>15</v>
      </c>
      <c r="E909" s="0" t="s">
        <v>2519</v>
      </c>
      <c r="F909" s="3" t="n">
        <f aca="false">D909*_xlfn.XLOOKUP(C909,Item_Master!A:A,Item_Master!G:G)</f>
        <v>83850</v>
      </c>
      <c r="G909" s="0" t="str">
        <f aca="false">TEXT(B909,"MMM YYYY")</f>
        <v>Dec 2025</v>
      </c>
    </row>
    <row r="910" customFormat="false" ht="15" hidden="false" customHeight="false" outlineLevel="0" collapsed="false">
      <c r="A910" s="0" t="s">
        <v>2520</v>
      </c>
      <c r="B910" s="4" t="n">
        <v>46011</v>
      </c>
      <c r="C910" s="0" t="s">
        <v>185</v>
      </c>
      <c r="D910" s="0" t="n">
        <v>35</v>
      </c>
      <c r="E910" s="0" t="s">
        <v>2521</v>
      </c>
      <c r="F910" s="3" t="n">
        <f aca="false">D910*_xlfn.XLOOKUP(C910,Item_Master!A:A,Item_Master!G:G)</f>
        <v>66150</v>
      </c>
      <c r="G910" s="0" t="str">
        <f aca="false">TEXT(B910,"MMM YYYY")</f>
        <v>Dec 2025</v>
      </c>
    </row>
    <row r="911" customFormat="false" ht="15" hidden="false" customHeight="false" outlineLevel="0" collapsed="false">
      <c r="A911" s="0" t="s">
        <v>2522</v>
      </c>
      <c r="B911" s="4" t="n">
        <v>46011</v>
      </c>
      <c r="C911" s="0" t="s">
        <v>235</v>
      </c>
      <c r="D911" s="0" t="n">
        <v>4</v>
      </c>
      <c r="E911" s="0" t="s">
        <v>2523</v>
      </c>
      <c r="F911" s="3" t="n">
        <f aca="false">D911*_xlfn.XLOOKUP(C911,Item_Master!A:A,Item_Master!G:G)</f>
        <v>9600</v>
      </c>
      <c r="G911" s="0" t="str">
        <f aca="false">TEXT(B911,"MMM YYYY")</f>
        <v>Dec 2025</v>
      </c>
    </row>
    <row r="912" customFormat="false" ht="15" hidden="false" customHeight="false" outlineLevel="0" collapsed="false">
      <c r="A912" s="0" t="s">
        <v>2524</v>
      </c>
      <c r="B912" s="4" t="n">
        <v>46011</v>
      </c>
      <c r="C912" s="0" t="s">
        <v>265</v>
      </c>
      <c r="D912" s="0" t="n">
        <v>8</v>
      </c>
      <c r="E912" s="0" t="s">
        <v>2525</v>
      </c>
      <c r="F912" s="3" t="n">
        <f aca="false">D912*_xlfn.XLOOKUP(C912,Item_Master!A:A,Item_Master!G:G)</f>
        <v>2160</v>
      </c>
      <c r="G912" s="0" t="str">
        <f aca="false">TEXT(B912,"MMM YYYY")</f>
        <v>Dec 2025</v>
      </c>
    </row>
    <row r="913" customFormat="false" ht="15" hidden="false" customHeight="false" outlineLevel="0" collapsed="false">
      <c r="A913" s="0" t="s">
        <v>2526</v>
      </c>
      <c r="B913" s="4" t="n">
        <v>46011</v>
      </c>
      <c r="C913" s="0" t="s">
        <v>267</v>
      </c>
      <c r="D913" s="0" t="n">
        <v>17</v>
      </c>
      <c r="E913" s="0" t="s">
        <v>2527</v>
      </c>
      <c r="F913" s="3" t="n">
        <f aca="false">D913*_xlfn.XLOOKUP(C913,Item_Master!A:A,Item_Master!G:G)</f>
        <v>2890</v>
      </c>
      <c r="G913" s="0" t="str">
        <f aca="false">TEXT(B913,"MMM YYYY")</f>
        <v>Dec 2025</v>
      </c>
    </row>
    <row r="914" customFormat="false" ht="15" hidden="false" customHeight="false" outlineLevel="0" collapsed="false">
      <c r="A914" s="0" t="s">
        <v>2528</v>
      </c>
      <c r="B914" s="4" t="n">
        <v>46011</v>
      </c>
      <c r="C914" s="0" t="s">
        <v>432</v>
      </c>
      <c r="D914" s="0" t="n">
        <v>28</v>
      </c>
      <c r="E914" s="0" t="s">
        <v>2529</v>
      </c>
      <c r="F914" s="3" t="n">
        <f aca="false">D914*_xlfn.XLOOKUP(C914,Item_Master!A:A,Item_Master!G:G)</f>
        <v>105560</v>
      </c>
      <c r="G914" s="0" t="str">
        <f aca="false">TEXT(B914,"MMM YYYY")</f>
        <v>Dec 2025</v>
      </c>
    </row>
    <row r="915" customFormat="false" ht="15" hidden="false" customHeight="false" outlineLevel="0" collapsed="false">
      <c r="A915" s="0" t="s">
        <v>2530</v>
      </c>
      <c r="B915" s="4" t="n">
        <v>46011</v>
      </c>
      <c r="C915" s="0" t="s">
        <v>492</v>
      </c>
      <c r="D915" s="0" t="n">
        <v>1</v>
      </c>
      <c r="E915" s="0" t="s">
        <v>2531</v>
      </c>
      <c r="F915" s="3" t="n">
        <f aca="false">D915*_xlfn.XLOOKUP(C915,Item_Master!A:A,Item_Master!G:G)</f>
        <v>350</v>
      </c>
      <c r="G915" s="0" t="str">
        <f aca="false">TEXT(B915,"MMM YYYY")</f>
        <v>Dec 2025</v>
      </c>
    </row>
    <row r="916" customFormat="false" ht="15" hidden="false" customHeight="false" outlineLevel="0" collapsed="false">
      <c r="A916" s="0" t="s">
        <v>2532</v>
      </c>
      <c r="B916" s="4" t="n">
        <v>46011</v>
      </c>
      <c r="C916" s="0" t="s">
        <v>493</v>
      </c>
      <c r="D916" s="0" t="n">
        <v>2</v>
      </c>
      <c r="E916" s="0" t="s">
        <v>2533</v>
      </c>
      <c r="F916" s="3" t="n">
        <f aca="false">D916*_xlfn.XLOOKUP(C916,Item_Master!A:A,Item_Master!G:G)</f>
        <v>940</v>
      </c>
      <c r="G916" s="0" t="str">
        <f aca="false">TEXT(B916,"MMM YYYY")</f>
        <v>Dec 2025</v>
      </c>
    </row>
    <row r="917" customFormat="false" ht="15" hidden="false" customHeight="false" outlineLevel="0" collapsed="false">
      <c r="A917" s="0" t="s">
        <v>2534</v>
      </c>
      <c r="B917" s="4" t="n">
        <v>46011</v>
      </c>
      <c r="C917" s="0" t="s">
        <v>503</v>
      </c>
      <c r="D917" s="0" t="n">
        <v>20</v>
      </c>
      <c r="E917" s="0" t="s">
        <v>2535</v>
      </c>
      <c r="F917" s="3" t="n">
        <f aca="false">D917*_xlfn.XLOOKUP(C917,Item_Master!A:A,Item_Master!G:G)</f>
        <v>53600</v>
      </c>
      <c r="G917" s="0" t="str">
        <f aca="false">TEXT(B917,"MMM YYYY")</f>
        <v>Dec 2025</v>
      </c>
    </row>
    <row r="918" customFormat="false" ht="15" hidden="false" customHeight="false" outlineLevel="0" collapsed="false">
      <c r="A918" s="0" t="s">
        <v>2536</v>
      </c>
      <c r="B918" s="4" t="n">
        <v>46011</v>
      </c>
      <c r="C918" s="0" t="s">
        <v>535</v>
      </c>
      <c r="D918" s="0" t="n">
        <v>14</v>
      </c>
      <c r="E918" s="0" t="s">
        <v>2537</v>
      </c>
      <c r="F918" s="3" t="n">
        <f aca="false">D918*_xlfn.XLOOKUP(C918,Item_Master!A:A,Item_Master!G:G)</f>
        <v>33880</v>
      </c>
      <c r="G918" s="0" t="str">
        <f aca="false">TEXT(B918,"MMM YYYY")</f>
        <v>Dec 2025</v>
      </c>
    </row>
    <row r="919" customFormat="false" ht="15" hidden="false" customHeight="false" outlineLevel="0" collapsed="false">
      <c r="A919" s="0" t="s">
        <v>2538</v>
      </c>
      <c r="B919" s="4" t="n">
        <v>46011</v>
      </c>
      <c r="C919" s="0" t="s">
        <v>597</v>
      </c>
      <c r="D919" s="0" t="n">
        <v>7</v>
      </c>
      <c r="E919" s="0" t="s">
        <v>2539</v>
      </c>
      <c r="F919" s="3" t="n">
        <f aca="false">D919*_xlfn.XLOOKUP(C919,Item_Master!A:A,Item_Master!G:G)</f>
        <v>111510</v>
      </c>
      <c r="G919" s="0" t="str">
        <f aca="false">TEXT(B919,"MMM YYYY")</f>
        <v>Dec 2025</v>
      </c>
    </row>
    <row r="920" customFormat="false" ht="15" hidden="false" customHeight="false" outlineLevel="0" collapsed="false">
      <c r="A920" s="0" t="s">
        <v>2540</v>
      </c>
      <c r="B920" s="4" t="n">
        <v>46011</v>
      </c>
      <c r="C920" s="0" t="s">
        <v>671</v>
      </c>
      <c r="D920" s="0" t="n">
        <v>22</v>
      </c>
      <c r="E920" s="0" t="s">
        <v>2541</v>
      </c>
      <c r="F920" s="3" t="n">
        <f aca="false">D920*_xlfn.XLOOKUP(C920,Item_Master!A:A,Item_Master!G:G)</f>
        <v>49280</v>
      </c>
      <c r="G920" s="0" t="str">
        <f aca="false">TEXT(B920,"MMM YYYY")</f>
        <v>Dec 2025</v>
      </c>
    </row>
    <row r="921" customFormat="false" ht="15" hidden="false" customHeight="false" outlineLevel="0" collapsed="false">
      <c r="A921" s="0" t="s">
        <v>2542</v>
      </c>
      <c r="B921" s="4" t="n">
        <v>46012</v>
      </c>
      <c r="C921" s="0" t="s">
        <v>200</v>
      </c>
      <c r="D921" s="0" t="n">
        <v>12</v>
      </c>
      <c r="E921" s="0" t="s">
        <v>2543</v>
      </c>
      <c r="F921" s="3" t="n">
        <f aca="false">D921*_xlfn.XLOOKUP(C921,Item_Master!A:A,Item_Master!G:G)</f>
        <v>12480</v>
      </c>
      <c r="G921" s="0" t="str">
        <f aca="false">TEXT(B921,"MMM YYYY")</f>
        <v>Dec 2025</v>
      </c>
    </row>
    <row r="922" customFormat="false" ht="15" hidden="false" customHeight="false" outlineLevel="0" collapsed="false">
      <c r="A922" s="0" t="s">
        <v>2544</v>
      </c>
      <c r="B922" s="4" t="n">
        <v>46012</v>
      </c>
      <c r="C922" s="0" t="s">
        <v>312</v>
      </c>
      <c r="D922" s="0" t="n">
        <v>3</v>
      </c>
      <c r="E922" s="0" t="s">
        <v>2545</v>
      </c>
      <c r="F922" s="3" t="n">
        <f aca="false">D922*_xlfn.XLOOKUP(C922,Item_Master!A:A,Item_Master!G:G)</f>
        <v>2490</v>
      </c>
      <c r="G922" s="0" t="str">
        <f aca="false">TEXT(B922,"MMM YYYY")</f>
        <v>Dec 2025</v>
      </c>
    </row>
    <row r="923" customFormat="false" ht="15" hidden="false" customHeight="false" outlineLevel="0" collapsed="false">
      <c r="A923" s="0" t="s">
        <v>2546</v>
      </c>
      <c r="B923" s="4" t="n">
        <v>46012</v>
      </c>
      <c r="C923" s="0" t="s">
        <v>372</v>
      </c>
      <c r="D923" s="0" t="n">
        <v>35</v>
      </c>
      <c r="E923" s="0" t="s">
        <v>2547</v>
      </c>
      <c r="F923" s="3" t="n">
        <f aca="false">D923*_xlfn.XLOOKUP(C923,Item_Master!A:A,Item_Master!G:G)</f>
        <v>155750</v>
      </c>
      <c r="G923" s="0" t="str">
        <f aca="false">TEXT(B923,"MMM YYYY")</f>
        <v>Dec 2025</v>
      </c>
    </row>
    <row r="924" customFormat="false" ht="15" hidden="false" customHeight="false" outlineLevel="0" collapsed="false">
      <c r="A924" s="0" t="s">
        <v>2548</v>
      </c>
      <c r="B924" s="4" t="n">
        <v>46012</v>
      </c>
      <c r="C924" s="0" t="s">
        <v>620</v>
      </c>
      <c r="D924" s="0" t="n">
        <v>33</v>
      </c>
      <c r="E924" s="0" t="s">
        <v>2549</v>
      </c>
      <c r="F924" s="3" t="n">
        <f aca="false">D924*_xlfn.XLOOKUP(C924,Item_Master!A:A,Item_Master!G:G)</f>
        <v>40590</v>
      </c>
      <c r="G924" s="0" t="str">
        <f aca="false">TEXT(B924,"MMM YYYY")</f>
        <v>Dec 2025</v>
      </c>
    </row>
    <row r="925" customFormat="false" ht="15" hidden="false" customHeight="false" outlineLevel="0" collapsed="false">
      <c r="A925" s="0" t="s">
        <v>2550</v>
      </c>
      <c r="B925" s="4" t="n">
        <v>46012</v>
      </c>
      <c r="C925" s="0" t="s">
        <v>658</v>
      </c>
      <c r="D925" s="0" t="n">
        <v>3</v>
      </c>
      <c r="E925" s="0" t="s">
        <v>2551</v>
      </c>
      <c r="F925" s="3" t="n">
        <f aca="false">D925*_xlfn.XLOOKUP(C925,Item_Master!A:A,Item_Master!G:G)</f>
        <v>1830</v>
      </c>
      <c r="G925" s="0" t="str">
        <f aca="false">TEXT(B925,"MMM YYYY")</f>
        <v>Dec 2025</v>
      </c>
    </row>
    <row r="926" customFormat="false" ht="15" hidden="false" customHeight="false" outlineLevel="0" collapsed="false">
      <c r="A926" s="0" t="s">
        <v>2552</v>
      </c>
      <c r="B926" s="4" t="n">
        <v>46013</v>
      </c>
      <c r="C926" s="0" t="s">
        <v>209</v>
      </c>
      <c r="D926" s="0" t="n">
        <v>10</v>
      </c>
      <c r="E926" s="0" t="s">
        <v>2553</v>
      </c>
      <c r="F926" s="3" t="n">
        <f aca="false">D926*_xlfn.XLOOKUP(C926,Item_Master!A:A,Item_Master!G:G)</f>
        <v>10900</v>
      </c>
      <c r="G926" s="0" t="str">
        <f aca="false">TEXT(B926,"MMM YYYY")</f>
        <v>Dec 2025</v>
      </c>
    </row>
    <row r="927" customFormat="false" ht="15" hidden="false" customHeight="false" outlineLevel="0" collapsed="false">
      <c r="A927" s="0" t="s">
        <v>2554</v>
      </c>
      <c r="B927" s="4" t="n">
        <v>46013</v>
      </c>
      <c r="C927" s="0" t="s">
        <v>416</v>
      </c>
      <c r="D927" s="0" t="n">
        <v>34</v>
      </c>
      <c r="E927" s="0" t="s">
        <v>2555</v>
      </c>
      <c r="F927" s="3" t="n">
        <f aca="false">D927*_xlfn.XLOOKUP(C927,Item_Master!A:A,Item_Master!G:G)</f>
        <v>52700</v>
      </c>
      <c r="G927" s="0" t="str">
        <f aca="false">TEXT(B927,"MMM YYYY")</f>
        <v>Dec 2025</v>
      </c>
    </row>
    <row r="928" customFormat="false" ht="15" hidden="false" customHeight="false" outlineLevel="0" collapsed="false">
      <c r="A928" s="0" t="s">
        <v>2556</v>
      </c>
      <c r="B928" s="4" t="n">
        <v>46013</v>
      </c>
      <c r="C928" s="0" t="s">
        <v>444</v>
      </c>
      <c r="D928" s="0" t="n">
        <v>21</v>
      </c>
      <c r="E928" s="0" t="s">
        <v>2557</v>
      </c>
      <c r="F928" s="3" t="n">
        <f aca="false">D928*_xlfn.XLOOKUP(C928,Item_Master!A:A,Item_Master!G:G)</f>
        <v>19740</v>
      </c>
      <c r="G928" s="0" t="str">
        <f aca="false">TEXT(B928,"MMM YYYY")</f>
        <v>Dec 2025</v>
      </c>
    </row>
    <row r="929" customFormat="false" ht="15" hidden="false" customHeight="false" outlineLevel="0" collapsed="false">
      <c r="A929" s="0" t="s">
        <v>2558</v>
      </c>
      <c r="B929" s="4" t="n">
        <v>46013</v>
      </c>
      <c r="C929" s="0" t="s">
        <v>467</v>
      </c>
      <c r="D929" s="0" t="n">
        <v>12</v>
      </c>
      <c r="E929" s="0" t="s">
        <v>2559</v>
      </c>
      <c r="F929" s="3" t="n">
        <f aca="false">D929*_xlfn.XLOOKUP(C929,Item_Master!A:A,Item_Master!G:G)</f>
        <v>85560</v>
      </c>
      <c r="G929" s="0" t="str">
        <f aca="false">TEXT(B929,"MMM YYYY")</f>
        <v>Dec 2025</v>
      </c>
    </row>
    <row r="930" customFormat="false" ht="15" hidden="false" customHeight="false" outlineLevel="0" collapsed="false">
      <c r="A930" s="0" t="s">
        <v>2560</v>
      </c>
      <c r="B930" s="4" t="n">
        <v>46013</v>
      </c>
      <c r="C930" s="0" t="s">
        <v>570</v>
      </c>
      <c r="D930" s="0" t="n">
        <v>36</v>
      </c>
      <c r="E930" s="0" t="s">
        <v>2561</v>
      </c>
      <c r="F930" s="3" t="n">
        <f aca="false">D930*_xlfn.XLOOKUP(C930,Item_Master!A:A,Item_Master!G:G)</f>
        <v>56880</v>
      </c>
      <c r="G930" s="0" t="str">
        <f aca="false">TEXT(B930,"MMM YYYY")</f>
        <v>Dec 2025</v>
      </c>
    </row>
    <row r="931" customFormat="false" ht="15" hidden="false" customHeight="false" outlineLevel="0" collapsed="false">
      <c r="A931" s="0" t="s">
        <v>2562</v>
      </c>
      <c r="B931" s="4" t="n">
        <v>46013</v>
      </c>
      <c r="C931" s="0" t="s">
        <v>584</v>
      </c>
      <c r="D931" s="0" t="n">
        <v>19</v>
      </c>
      <c r="E931" s="0" t="s">
        <v>2563</v>
      </c>
      <c r="F931" s="3" t="n">
        <f aca="false">D931*_xlfn.XLOOKUP(C931,Item_Master!A:A,Item_Master!G:G)</f>
        <v>157320</v>
      </c>
      <c r="G931" s="0" t="str">
        <f aca="false">TEXT(B931,"MMM YYYY")</f>
        <v>Dec 2025</v>
      </c>
    </row>
    <row r="932" customFormat="false" ht="15" hidden="false" customHeight="false" outlineLevel="0" collapsed="false">
      <c r="A932" s="0" t="s">
        <v>2564</v>
      </c>
      <c r="B932" s="4" t="n">
        <v>46014</v>
      </c>
      <c r="C932" s="0" t="s">
        <v>26</v>
      </c>
      <c r="D932" s="0" t="n">
        <v>9</v>
      </c>
      <c r="E932" s="0" t="s">
        <v>2565</v>
      </c>
      <c r="F932" s="3" t="n">
        <f aca="false">D932*_xlfn.XLOOKUP(C932,Item_Master!A:A,Item_Master!G:G)</f>
        <v>11880</v>
      </c>
      <c r="G932" s="0" t="str">
        <f aca="false">TEXT(B932,"MMM YYYY")</f>
        <v>Dec 2025</v>
      </c>
    </row>
    <row r="933" customFormat="false" ht="15" hidden="false" customHeight="false" outlineLevel="0" collapsed="false">
      <c r="A933" s="0" t="s">
        <v>2566</v>
      </c>
      <c r="B933" s="4" t="n">
        <v>46014</v>
      </c>
      <c r="C933" s="0" t="s">
        <v>98</v>
      </c>
      <c r="D933" s="0" t="n">
        <v>37</v>
      </c>
      <c r="E933" s="0" t="s">
        <v>2567</v>
      </c>
      <c r="F933" s="3" t="n">
        <f aca="false">D933*_xlfn.XLOOKUP(C933,Item_Master!A:A,Item_Master!G:G)</f>
        <v>36630</v>
      </c>
      <c r="G933" s="0" t="str">
        <f aca="false">TEXT(B933,"MMM YYYY")</f>
        <v>Dec 2025</v>
      </c>
    </row>
    <row r="934" customFormat="false" ht="15" hidden="false" customHeight="false" outlineLevel="0" collapsed="false">
      <c r="A934" s="0" t="s">
        <v>2568</v>
      </c>
      <c r="B934" s="4" t="n">
        <v>46014</v>
      </c>
      <c r="C934" s="0" t="s">
        <v>156</v>
      </c>
      <c r="D934" s="0" t="n">
        <v>25</v>
      </c>
      <c r="E934" s="0" t="s">
        <v>2569</v>
      </c>
      <c r="F934" s="3" t="n">
        <f aca="false">D934*_xlfn.XLOOKUP(C934,Item_Master!A:A,Item_Master!G:G)</f>
        <v>75000</v>
      </c>
      <c r="G934" s="0" t="str">
        <f aca="false">TEXT(B934,"MMM YYYY")</f>
        <v>Dec 2025</v>
      </c>
    </row>
    <row r="935" customFormat="false" ht="15" hidden="false" customHeight="false" outlineLevel="0" collapsed="false">
      <c r="A935" s="0" t="s">
        <v>2570</v>
      </c>
      <c r="B935" s="4" t="n">
        <v>46014</v>
      </c>
      <c r="C935" s="0" t="s">
        <v>160</v>
      </c>
      <c r="D935" s="0" t="n">
        <v>38</v>
      </c>
      <c r="E935" s="0" t="s">
        <v>2571</v>
      </c>
      <c r="F935" s="3" t="n">
        <f aca="false">D935*_xlfn.XLOOKUP(C935,Item_Master!A:A,Item_Master!G:G)</f>
        <v>29260</v>
      </c>
      <c r="G935" s="0" t="str">
        <f aca="false">TEXT(B935,"MMM YYYY")</f>
        <v>Dec 2025</v>
      </c>
    </row>
    <row r="936" customFormat="false" ht="15" hidden="false" customHeight="false" outlineLevel="0" collapsed="false">
      <c r="A936" s="0" t="s">
        <v>2572</v>
      </c>
      <c r="B936" s="4" t="n">
        <v>46014</v>
      </c>
      <c r="C936" s="0" t="s">
        <v>223</v>
      </c>
      <c r="D936" s="0" t="n">
        <v>32</v>
      </c>
      <c r="E936" s="0" t="s">
        <v>2573</v>
      </c>
      <c r="F936" s="3" t="n">
        <f aca="false">D936*_xlfn.XLOOKUP(C936,Item_Master!A:A,Item_Master!G:G)</f>
        <v>8320</v>
      </c>
      <c r="G936" s="0" t="str">
        <f aca="false">TEXT(B936,"MMM YYYY")</f>
        <v>Dec 2025</v>
      </c>
    </row>
    <row r="937" customFormat="false" ht="15" hidden="false" customHeight="false" outlineLevel="0" collapsed="false">
      <c r="A937" s="0" t="s">
        <v>2574</v>
      </c>
      <c r="B937" s="4" t="n">
        <v>46014</v>
      </c>
      <c r="C937" s="0" t="s">
        <v>283</v>
      </c>
      <c r="D937" s="0" t="n">
        <v>12</v>
      </c>
      <c r="E937" s="0" t="s">
        <v>2575</v>
      </c>
      <c r="F937" s="3" t="n">
        <f aca="false">D937*_xlfn.XLOOKUP(C937,Item_Master!A:A,Item_Master!G:G)</f>
        <v>227640</v>
      </c>
      <c r="G937" s="0" t="str">
        <f aca="false">TEXT(B937,"MMM YYYY")</f>
        <v>Dec 2025</v>
      </c>
    </row>
    <row r="938" customFormat="false" ht="15" hidden="false" customHeight="false" outlineLevel="0" collapsed="false">
      <c r="A938" s="0" t="s">
        <v>2576</v>
      </c>
      <c r="B938" s="4" t="n">
        <v>46014</v>
      </c>
      <c r="C938" s="0" t="s">
        <v>283</v>
      </c>
      <c r="D938" s="0" t="n">
        <v>25</v>
      </c>
      <c r="E938" s="0" t="s">
        <v>2577</v>
      </c>
      <c r="F938" s="3" t="n">
        <f aca="false">D938*_xlfn.XLOOKUP(C938,Item_Master!A:A,Item_Master!G:G)</f>
        <v>474250</v>
      </c>
      <c r="G938" s="0" t="str">
        <f aca="false">TEXT(B938,"MMM YYYY")</f>
        <v>Dec 2025</v>
      </c>
    </row>
    <row r="939" customFormat="false" ht="15" hidden="false" customHeight="false" outlineLevel="0" collapsed="false">
      <c r="A939" s="0" t="s">
        <v>2578</v>
      </c>
      <c r="B939" s="4" t="n">
        <v>46014</v>
      </c>
      <c r="C939" s="0" t="s">
        <v>446</v>
      </c>
      <c r="D939" s="0" t="n">
        <v>20</v>
      </c>
      <c r="E939" s="0" t="s">
        <v>2579</v>
      </c>
      <c r="F939" s="3" t="n">
        <f aca="false">D939*_xlfn.XLOOKUP(C939,Item_Master!A:A,Item_Master!G:G)</f>
        <v>35000</v>
      </c>
      <c r="G939" s="0" t="str">
        <f aca="false">TEXT(B939,"MMM YYYY")</f>
        <v>Dec 2025</v>
      </c>
    </row>
    <row r="940" customFormat="false" ht="15" hidden="false" customHeight="false" outlineLevel="0" collapsed="false">
      <c r="A940" s="0" t="s">
        <v>2580</v>
      </c>
      <c r="B940" s="4" t="n">
        <v>46014</v>
      </c>
      <c r="C940" s="0" t="s">
        <v>450</v>
      </c>
      <c r="D940" s="0" t="n">
        <v>6</v>
      </c>
      <c r="E940" s="0" t="s">
        <v>2581</v>
      </c>
      <c r="F940" s="3" t="n">
        <f aca="false">D940*_xlfn.XLOOKUP(C940,Item_Master!A:A,Item_Master!G:G)</f>
        <v>5100</v>
      </c>
      <c r="G940" s="0" t="str">
        <f aca="false">TEXT(B940,"MMM YYYY")</f>
        <v>Dec 2025</v>
      </c>
    </row>
    <row r="941" customFormat="false" ht="15" hidden="false" customHeight="false" outlineLevel="0" collapsed="false">
      <c r="A941" s="0" t="s">
        <v>2582</v>
      </c>
      <c r="B941" s="4" t="n">
        <v>46014</v>
      </c>
      <c r="C941" s="0" t="s">
        <v>511</v>
      </c>
      <c r="D941" s="0" t="n">
        <v>4</v>
      </c>
      <c r="E941" s="0" t="s">
        <v>2583</v>
      </c>
      <c r="F941" s="3" t="n">
        <f aca="false">D941*_xlfn.XLOOKUP(C941,Item_Master!A:A,Item_Master!G:G)</f>
        <v>10440</v>
      </c>
      <c r="G941" s="0" t="str">
        <f aca="false">TEXT(B941,"MMM YYYY")</f>
        <v>Dec 2025</v>
      </c>
    </row>
    <row r="942" customFormat="false" ht="15" hidden="false" customHeight="false" outlineLevel="0" collapsed="false">
      <c r="A942" s="0" t="s">
        <v>2584</v>
      </c>
      <c r="B942" s="4" t="n">
        <v>46014</v>
      </c>
      <c r="C942" s="0" t="s">
        <v>586</v>
      </c>
      <c r="D942" s="0" t="n">
        <v>20</v>
      </c>
      <c r="E942" s="0" t="s">
        <v>2585</v>
      </c>
      <c r="F942" s="3" t="n">
        <f aca="false">D942*_xlfn.XLOOKUP(C942,Item_Master!A:A,Item_Master!G:G)</f>
        <v>34000</v>
      </c>
      <c r="G942" s="0" t="str">
        <f aca="false">TEXT(B942,"MMM YYYY")</f>
        <v>Dec 2025</v>
      </c>
    </row>
    <row r="943" customFormat="false" ht="15" hidden="false" customHeight="false" outlineLevel="0" collapsed="false">
      <c r="A943" s="0" t="s">
        <v>2586</v>
      </c>
      <c r="B943" s="4" t="n">
        <v>46015</v>
      </c>
      <c r="C943" s="0" t="s">
        <v>212</v>
      </c>
      <c r="D943" s="0" t="n">
        <v>35</v>
      </c>
      <c r="E943" s="0" t="s">
        <v>2587</v>
      </c>
      <c r="F943" s="3" t="n">
        <f aca="false">D943*_xlfn.XLOOKUP(C943,Item_Master!A:A,Item_Master!G:G)</f>
        <v>149100</v>
      </c>
      <c r="G943" s="0" t="str">
        <f aca="false">TEXT(B943,"MMM YYYY")</f>
        <v>Dec 2025</v>
      </c>
    </row>
    <row r="944" customFormat="false" ht="15" hidden="false" customHeight="false" outlineLevel="0" collapsed="false">
      <c r="A944" s="0" t="s">
        <v>2588</v>
      </c>
      <c r="B944" s="4" t="n">
        <v>46015</v>
      </c>
      <c r="C944" s="0" t="s">
        <v>271</v>
      </c>
      <c r="D944" s="0" t="n">
        <v>19</v>
      </c>
      <c r="E944" s="0" t="s">
        <v>2589</v>
      </c>
      <c r="F944" s="3" t="n">
        <f aca="false">D944*_xlfn.XLOOKUP(C944,Item_Master!A:A,Item_Master!G:G)</f>
        <v>11400</v>
      </c>
      <c r="G944" s="0" t="str">
        <f aca="false">TEXT(B944,"MMM YYYY")</f>
        <v>Dec 2025</v>
      </c>
    </row>
    <row r="945" customFormat="false" ht="15" hidden="false" customHeight="false" outlineLevel="0" collapsed="false">
      <c r="A945" s="0" t="s">
        <v>2590</v>
      </c>
      <c r="B945" s="4" t="n">
        <v>46015</v>
      </c>
      <c r="C945" s="0" t="s">
        <v>324</v>
      </c>
      <c r="D945" s="0" t="n">
        <v>10</v>
      </c>
      <c r="E945" s="0" t="s">
        <v>2591</v>
      </c>
      <c r="F945" s="3" t="n">
        <f aca="false">D945*_xlfn.XLOOKUP(C945,Item_Master!A:A,Item_Master!G:G)</f>
        <v>199800</v>
      </c>
      <c r="G945" s="0" t="str">
        <f aca="false">TEXT(B945,"MMM YYYY")</f>
        <v>Dec 2025</v>
      </c>
    </row>
    <row r="946" customFormat="false" ht="15" hidden="false" customHeight="false" outlineLevel="0" collapsed="false">
      <c r="A946" s="0" t="s">
        <v>2592</v>
      </c>
      <c r="B946" s="4" t="n">
        <v>46015</v>
      </c>
      <c r="C946" s="0" t="s">
        <v>347</v>
      </c>
      <c r="D946" s="0" t="n">
        <v>10</v>
      </c>
      <c r="E946" s="0" t="s">
        <v>2593</v>
      </c>
      <c r="F946" s="3" t="n">
        <f aca="false">D946*_xlfn.XLOOKUP(C946,Item_Master!A:A,Item_Master!G:G)</f>
        <v>2400</v>
      </c>
      <c r="G946" s="0" t="str">
        <f aca="false">TEXT(B946,"MMM YYYY")</f>
        <v>Dec 2025</v>
      </c>
    </row>
    <row r="947" customFormat="false" ht="15" hidden="false" customHeight="false" outlineLevel="0" collapsed="false">
      <c r="A947" s="0" t="s">
        <v>2594</v>
      </c>
      <c r="B947" s="4" t="n">
        <v>46015</v>
      </c>
      <c r="C947" s="0" t="s">
        <v>376</v>
      </c>
      <c r="D947" s="0" t="n">
        <v>1</v>
      </c>
      <c r="E947" s="0" t="s">
        <v>2595</v>
      </c>
      <c r="F947" s="3" t="n">
        <f aca="false">D947*_xlfn.XLOOKUP(C947,Item_Master!A:A,Item_Master!G:G)</f>
        <v>1390</v>
      </c>
      <c r="G947" s="0" t="str">
        <f aca="false">TEXT(B947,"MMM YYYY")</f>
        <v>Dec 2025</v>
      </c>
    </row>
    <row r="948" customFormat="false" ht="15" hidden="false" customHeight="false" outlineLevel="0" collapsed="false">
      <c r="A948" s="0" t="s">
        <v>2596</v>
      </c>
      <c r="B948" s="4" t="n">
        <v>46015</v>
      </c>
      <c r="C948" s="0" t="s">
        <v>394</v>
      </c>
      <c r="D948" s="0" t="n">
        <v>34</v>
      </c>
      <c r="E948" s="0" t="s">
        <v>2597</v>
      </c>
      <c r="F948" s="3" t="n">
        <f aca="false">D948*_xlfn.XLOOKUP(C948,Item_Master!A:A,Item_Master!G:G)</f>
        <v>36040</v>
      </c>
      <c r="G948" s="0" t="str">
        <f aca="false">TEXT(B948,"MMM YYYY")</f>
        <v>Dec 2025</v>
      </c>
    </row>
    <row r="949" customFormat="false" ht="15" hidden="false" customHeight="false" outlineLevel="0" collapsed="false">
      <c r="A949" s="0" t="s">
        <v>2598</v>
      </c>
      <c r="B949" s="4" t="n">
        <v>46015</v>
      </c>
      <c r="C949" s="0" t="s">
        <v>448</v>
      </c>
      <c r="D949" s="0" t="n">
        <v>1</v>
      </c>
      <c r="E949" s="0" t="s">
        <v>2599</v>
      </c>
      <c r="F949" s="3" t="n">
        <f aca="false">D949*_xlfn.XLOOKUP(C949,Item_Master!A:A,Item_Master!G:G)</f>
        <v>340</v>
      </c>
      <c r="G949" s="0" t="str">
        <f aca="false">TEXT(B949,"MMM YYYY")</f>
        <v>Dec 2025</v>
      </c>
    </row>
    <row r="950" customFormat="false" ht="15" hidden="false" customHeight="false" outlineLevel="0" collapsed="false">
      <c r="A950" s="0" t="s">
        <v>2600</v>
      </c>
      <c r="B950" s="4" t="n">
        <v>46015</v>
      </c>
      <c r="C950" s="0" t="s">
        <v>588</v>
      </c>
      <c r="D950" s="0" t="n">
        <v>4</v>
      </c>
      <c r="E950" s="0" t="s">
        <v>2601</v>
      </c>
      <c r="F950" s="3" t="n">
        <f aca="false">D950*_xlfn.XLOOKUP(C950,Item_Master!A:A,Item_Master!G:G)</f>
        <v>12280</v>
      </c>
      <c r="G950" s="0" t="str">
        <f aca="false">TEXT(B950,"MMM YYYY")</f>
        <v>Dec 2025</v>
      </c>
    </row>
    <row r="951" customFormat="false" ht="15" hidden="false" customHeight="false" outlineLevel="0" collapsed="false">
      <c r="A951" s="0" t="s">
        <v>2602</v>
      </c>
      <c r="B951" s="4" t="n">
        <v>46015</v>
      </c>
      <c r="C951" s="0" t="s">
        <v>658</v>
      </c>
      <c r="D951" s="0" t="n">
        <v>23</v>
      </c>
      <c r="E951" s="0" t="s">
        <v>2603</v>
      </c>
      <c r="F951" s="3" t="n">
        <f aca="false">D951*_xlfn.XLOOKUP(C951,Item_Master!A:A,Item_Master!G:G)</f>
        <v>14030</v>
      </c>
      <c r="G951" s="0" t="str">
        <f aca="false">TEXT(B951,"MMM YYYY")</f>
        <v>Dec 2025</v>
      </c>
    </row>
    <row r="952" customFormat="false" ht="15" hidden="false" customHeight="false" outlineLevel="0" collapsed="false">
      <c r="A952" s="0" t="s">
        <v>2604</v>
      </c>
      <c r="B952" s="4" t="n">
        <v>46016</v>
      </c>
      <c r="C952" s="0" t="s">
        <v>130</v>
      </c>
      <c r="D952" s="0" t="n">
        <v>20</v>
      </c>
      <c r="E952" s="0" t="s">
        <v>2605</v>
      </c>
      <c r="F952" s="3" t="n">
        <f aca="false">D952*_xlfn.XLOOKUP(C952,Item_Master!A:A,Item_Master!G:G)</f>
        <v>343600</v>
      </c>
      <c r="G952" s="0" t="str">
        <f aca="false">TEXT(B952,"MMM YYYY")</f>
        <v>Dec 2025</v>
      </c>
    </row>
    <row r="953" customFormat="false" ht="15" hidden="false" customHeight="false" outlineLevel="0" collapsed="false">
      <c r="A953" s="0" t="s">
        <v>2606</v>
      </c>
      <c r="B953" s="4" t="n">
        <v>46016</v>
      </c>
      <c r="C953" s="0" t="s">
        <v>464</v>
      </c>
      <c r="D953" s="0" t="n">
        <v>26</v>
      </c>
      <c r="E953" s="0" t="s">
        <v>2607</v>
      </c>
      <c r="F953" s="3" t="n">
        <f aca="false">D953*_xlfn.XLOOKUP(C953,Item_Master!A:A,Item_Master!G:G)</f>
        <v>21320</v>
      </c>
      <c r="G953" s="0" t="str">
        <f aca="false">TEXT(B953,"MMM YYYY")</f>
        <v>Dec 2025</v>
      </c>
    </row>
    <row r="954" customFormat="false" ht="15" hidden="false" customHeight="false" outlineLevel="0" collapsed="false">
      <c r="A954" s="0" t="s">
        <v>2608</v>
      </c>
      <c r="B954" s="4" t="n">
        <v>46016</v>
      </c>
      <c r="C954" s="0" t="s">
        <v>496</v>
      </c>
      <c r="D954" s="0" t="n">
        <v>2</v>
      </c>
      <c r="E954" s="0" t="s">
        <v>2609</v>
      </c>
      <c r="F954" s="3" t="n">
        <f aca="false">D954*_xlfn.XLOOKUP(C954,Item_Master!A:A,Item_Master!G:G)</f>
        <v>1020</v>
      </c>
      <c r="G954" s="0" t="str">
        <f aca="false">TEXT(B954,"MMM YYYY")</f>
        <v>Dec 2025</v>
      </c>
    </row>
    <row r="955" customFormat="false" ht="15" hidden="false" customHeight="false" outlineLevel="0" collapsed="false">
      <c r="A955" s="0" t="s">
        <v>2610</v>
      </c>
      <c r="B955" s="4" t="n">
        <v>46016</v>
      </c>
      <c r="C955" s="0" t="s">
        <v>498</v>
      </c>
      <c r="D955" s="0" t="n">
        <v>14</v>
      </c>
      <c r="E955" s="0" t="s">
        <v>2611</v>
      </c>
      <c r="F955" s="3" t="n">
        <f aca="false">D955*_xlfn.XLOOKUP(C955,Item_Master!A:A,Item_Master!G:G)</f>
        <v>41300</v>
      </c>
      <c r="G955" s="0" t="str">
        <f aca="false">TEXT(B955,"MMM YYYY")</f>
        <v>Dec 2025</v>
      </c>
    </row>
    <row r="956" customFormat="false" ht="15" hidden="false" customHeight="false" outlineLevel="0" collapsed="false">
      <c r="A956" s="0" t="s">
        <v>2612</v>
      </c>
      <c r="B956" s="4" t="n">
        <v>46016</v>
      </c>
      <c r="C956" s="0" t="s">
        <v>518</v>
      </c>
      <c r="D956" s="0" t="n">
        <v>18</v>
      </c>
      <c r="E956" s="0" t="s">
        <v>2613</v>
      </c>
      <c r="F956" s="3" t="n">
        <f aca="false">D956*_xlfn.XLOOKUP(C956,Item_Master!A:A,Item_Master!G:G)</f>
        <v>59220</v>
      </c>
      <c r="G956" s="0" t="str">
        <f aca="false">TEXT(B956,"MMM YYYY")</f>
        <v>Dec 2025</v>
      </c>
    </row>
    <row r="957" customFormat="false" ht="15" hidden="false" customHeight="false" outlineLevel="0" collapsed="false">
      <c r="A957" s="0" t="s">
        <v>2614</v>
      </c>
      <c r="B957" s="4" t="n">
        <v>46016</v>
      </c>
      <c r="C957" s="0" t="s">
        <v>561</v>
      </c>
      <c r="D957" s="0" t="n">
        <v>7</v>
      </c>
      <c r="E957" s="0" t="s">
        <v>2615</v>
      </c>
      <c r="F957" s="3" t="n">
        <f aca="false">D957*_xlfn.XLOOKUP(C957,Item_Master!A:A,Item_Master!G:G)</f>
        <v>12600</v>
      </c>
      <c r="G957" s="0" t="str">
        <f aca="false">TEXT(B957,"MMM YYYY")</f>
        <v>Dec 2025</v>
      </c>
    </row>
    <row r="958" customFormat="false" ht="15" hidden="false" customHeight="false" outlineLevel="0" collapsed="false">
      <c r="A958" s="0" t="s">
        <v>2616</v>
      </c>
      <c r="B958" s="4" t="n">
        <v>46016</v>
      </c>
      <c r="C958" s="0" t="s">
        <v>582</v>
      </c>
      <c r="D958" s="0" t="n">
        <v>18</v>
      </c>
      <c r="E958" s="0" t="s">
        <v>2617</v>
      </c>
      <c r="F958" s="3" t="n">
        <f aca="false">D958*_xlfn.XLOOKUP(C958,Item_Master!A:A,Item_Master!G:G)</f>
        <v>347220</v>
      </c>
      <c r="G958" s="0" t="str">
        <f aca="false">TEXT(B958,"MMM YYYY")</f>
        <v>Dec 2025</v>
      </c>
    </row>
    <row r="959" customFormat="false" ht="15" hidden="false" customHeight="false" outlineLevel="0" collapsed="false">
      <c r="A959" s="0" t="s">
        <v>2618</v>
      </c>
      <c r="B959" s="4" t="n">
        <v>46016</v>
      </c>
      <c r="C959" s="0" t="s">
        <v>627</v>
      </c>
      <c r="D959" s="0" t="n">
        <v>33</v>
      </c>
      <c r="E959" s="0" t="s">
        <v>2619</v>
      </c>
      <c r="F959" s="3" t="n">
        <f aca="false">D959*_xlfn.XLOOKUP(C959,Item_Master!A:A,Item_Master!G:G)</f>
        <v>235950</v>
      </c>
      <c r="G959" s="0" t="str">
        <f aca="false">TEXT(B959,"MMM YYYY")</f>
        <v>Dec 2025</v>
      </c>
    </row>
    <row r="960" customFormat="false" ht="15" hidden="false" customHeight="false" outlineLevel="0" collapsed="false">
      <c r="A960" s="0" t="s">
        <v>2620</v>
      </c>
      <c r="B960" s="4" t="n">
        <v>46016</v>
      </c>
      <c r="C960" s="0" t="s">
        <v>637</v>
      </c>
      <c r="D960" s="0" t="n">
        <v>4</v>
      </c>
      <c r="E960" s="0" t="s">
        <v>2621</v>
      </c>
      <c r="F960" s="3" t="n">
        <f aca="false">D960*_xlfn.XLOOKUP(C960,Item_Master!A:A,Item_Master!G:G)</f>
        <v>2040</v>
      </c>
      <c r="G960" s="0" t="str">
        <f aca="false">TEXT(B960,"MMM YYYY")</f>
        <v>Dec 2025</v>
      </c>
    </row>
    <row r="961" customFormat="false" ht="15" hidden="false" customHeight="false" outlineLevel="0" collapsed="false">
      <c r="A961" s="0" t="s">
        <v>2622</v>
      </c>
      <c r="B961" s="4" t="n">
        <v>46016</v>
      </c>
      <c r="C961" s="0" t="s">
        <v>649</v>
      </c>
      <c r="D961" s="0" t="n">
        <v>14</v>
      </c>
      <c r="E961" s="0" t="s">
        <v>2623</v>
      </c>
      <c r="F961" s="3" t="n">
        <f aca="false">D961*_xlfn.XLOOKUP(C961,Item_Master!A:A,Item_Master!G:G)</f>
        <v>22400</v>
      </c>
      <c r="G961" s="0" t="str">
        <f aca="false">TEXT(B961,"MMM YYYY")</f>
        <v>Dec 2025</v>
      </c>
    </row>
    <row r="962" customFormat="false" ht="15" hidden="false" customHeight="false" outlineLevel="0" collapsed="false">
      <c r="A962" s="0" t="s">
        <v>2624</v>
      </c>
      <c r="B962" s="4" t="n">
        <v>46016</v>
      </c>
      <c r="C962" s="0" t="s">
        <v>653</v>
      </c>
      <c r="D962" s="0" t="n">
        <v>38</v>
      </c>
      <c r="E962" s="0" t="s">
        <v>2625</v>
      </c>
      <c r="F962" s="3" t="n">
        <f aca="false">D962*_xlfn.XLOOKUP(C962,Item_Master!A:A,Item_Master!G:G)</f>
        <v>66120</v>
      </c>
      <c r="G962" s="0" t="str">
        <f aca="false">TEXT(B962,"MMM YYYY")</f>
        <v>Dec 2025</v>
      </c>
    </row>
    <row r="963" customFormat="false" ht="15" hidden="false" customHeight="false" outlineLevel="0" collapsed="false">
      <c r="A963" s="0" t="s">
        <v>2626</v>
      </c>
      <c r="B963" s="4" t="n">
        <v>46016</v>
      </c>
      <c r="C963" s="0" t="s">
        <v>659</v>
      </c>
      <c r="D963" s="0" t="n">
        <v>38</v>
      </c>
      <c r="E963" s="0" t="s">
        <v>2627</v>
      </c>
      <c r="F963" s="3" t="n">
        <f aca="false">D963*_xlfn.XLOOKUP(C963,Item_Master!A:A,Item_Master!G:G)</f>
        <v>131860</v>
      </c>
      <c r="G963" s="0" t="str">
        <f aca="false">TEXT(B963,"MMM YYYY")</f>
        <v>Dec 2025</v>
      </c>
    </row>
    <row r="964" customFormat="false" ht="15" hidden="false" customHeight="false" outlineLevel="0" collapsed="false">
      <c r="A964" s="0" t="s">
        <v>2628</v>
      </c>
      <c r="B964" s="4" t="n">
        <v>46016</v>
      </c>
      <c r="C964" s="0" t="s">
        <v>696</v>
      </c>
      <c r="D964" s="0" t="n">
        <v>16</v>
      </c>
      <c r="E964" s="0" t="s">
        <v>2629</v>
      </c>
      <c r="F964" s="3" t="n">
        <f aca="false">D964*_xlfn.XLOOKUP(C964,Item_Master!A:A,Item_Master!G:G)</f>
        <v>9920</v>
      </c>
      <c r="G964" s="0" t="str">
        <f aca="false">TEXT(B964,"MMM YYYY")</f>
        <v>Dec 2025</v>
      </c>
    </row>
    <row r="965" customFormat="false" ht="15" hidden="false" customHeight="false" outlineLevel="0" collapsed="false">
      <c r="A965" s="0" t="s">
        <v>2630</v>
      </c>
      <c r="B965" s="4" t="n">
        <v>46016</v>
      </c>
      <c r="C965" s="0" t="s">
        <v>700</v>
      </c>
      <c r="D965" s="0" t="n">
        <v>17</v>
      </c>
      <c r="E965" s="0" t="s">
        <v>2631</v>
      </c>
      <c r="F965" s="3" t="n">
        <f aca="false">D965*_xlfn.XLOOKUP(C965,Item_Master!A:A,Item_Master!G:G)</f>
        <v>326910</v>
      </c>
      <c r="G965" s="0" t="str">
        <f aca="false">TEXT(B965,"MMM YYYY")</f>
        <v>Dec 2025</v>
      </c>
    </row>
    <row r="966" customFormat="false" ht="15" hidden="false" customHeight="false" outlineLevel="0" collapsed="false">
      <c r="A966" s="0" t="s">
        <v>2632</v>
      </c>
      <c r="B966" s="4" t="n">
        <v>46017</v>
      </c>
      <c r="C966" s="0" t="s">
        <v>32</v>
      </c>
      <c r="D966" s="0" t="n">
        <v>17</v>
      </c>
      <c r="E966" s="0" t="s">
        <v>2633</v>
      </c>
      <c r="F966" s="3" t="n">
        <f aca="false">D966*_xlfn.XLOOKUP(C966,Item_Master!A:A,Item_Master!G:G)</f>
        <v>69020</v>
      </c>
      <c r="G966" s="0" t="str">
        <f aca="false">TEXT(B966,"MMM YYYY")</f>
        <v>Dec 2025</v>
      </c>
    </row>
    <row r="967" customFormat="false" ht="15" hidden="false" customHeight="false" outlineLevel="0" collapsed="false">
      <c r="A967" s="0" t="s">
        <v>2634</v>
      </c>
      <c r="B967" s="4" t="n">
        <v>46017</v>
      </c>
      <c r="C967" s="0" t="s">
        <v>130</v>
      </c>
      <c r="D967" s="0" t="n">
        <v>2</v>
      </c>
      <c r="E967" s="0" t="s">
        <v>2635</v>
      </c>
      <c r="F967" s="3" t="n">
        <f aca="false">D967*_xlfn.XLOOKUP(C967,Item_Master!A:A,Item_Master!G:G)</f>
        <v>34360</v>
      </c>
      <c r="G967" s="0" t="str">
        <f aca="false">TEXT(B967,"MMM YYYY")</f>
        <v>Dec 2025</v>
      </c>
    </row>
    <row r="968" customFormat="false" ht="15" hidden="false" customHeight="false" outlineLevel="0" collapsed="false">
      <c r="A968" s="0" t="s">
        <v>2636</v>
      </c>
      <c r="B968" s="4" t="n">
        <v>46017</v>
      </c>
      <c r="C968" s="0" t="s">
        <v>158</v>
      </c>
      <c r="D968" s="0" t="n">
        <v>12</v>
      </c>
      <c r="E968" s="0" t="s">
        <v>2637</v>
      </c>
      <c r="F968" s="3" t="n">
        <f aca="false">D968*_xlfn.XLOOKUP(C968,Item_Master!A:A,Item_Master!G:G)</f>
        <v>7080</v>
      </c>
      <c r="G968" s="0" t="str">
        <f aca="false">TEXT(B968,"MMM YYYY")</f>
        <v>Dec 2025</v>
      </c>
    </row>
    <row r="969" customFormat="false" ht="15" hidden="false" customHeight="false" outlineLevel="0" collapsed="false">
      <c r="A969" s="0" t="s">
        <v>2638</v>
      </c>
      <c r="B969" s="4" t="n">
        <v>46017</v>
      </c>
      <c r="C969" s="0" t="s">
        <v>279</v>
      </c>
      <c r="D969" s="0" t="n">
        <v>18</v>
      </c>
      <c r="E969" s="0" t="s">
        <v>2639</v>
      </c>
      <c r="F969" s="3" t="n">
        <f aca="false">D969*_xlfn.XLOOKUP(C969,Item_Master!A:A,Item_Master!G:G)</f>
        <v>233460</v>
      </c>
      <c r="G969" s="0" t="str">
        <f aca="false">TEXT(B969,"MMM YYYY")</f>
        <v>Dec 2025</v>
      </c>
    </row>
    <row r="970" customFormat="false" ht="15" hidden="false" customHeight="false" outlineLevel="0" collapsed="false">
      <c r="A970" s="0" t="s">
        <v>2640</v>
      </c>
      <c r="B970" s="4" t="n">
        <v>46017</v>
      </c>
      <c r="C970" s="0" t="s">
        <v>368</v>
      </c>
      <c r="D970" s="0" t="n">
        <v>33</v>
      </c>
      <c r="E970" s="0" t="s">
        <v>2641</v>
      </c>
      <c r="F970" s="3" t="n">
        <f aca="false">D970*_xlfn.XLOOKUP(C970,Item_Master!A:A,Item_Master!G:G)</f>
        <v>48840</v>
      </c>
      <c r="G970" s="0" t="str">
        <f aca="false">TEXT(B970,"MMM YYYY")</f>
        <v>Dec 2025</v>
      </c>
    </row>
    <row r="971" customFormat="false" ht="15" hidden="false" customHeight="false" outlineLevel="0" collapsed="false">
      <c r="A971" s="0" t="s">
        <v>2642</v>
      </c>
      <c r="B971" s="4" t="n">
        <v>46017</v>
      </c>
      <c r="C971" s="0" t="s">
        <v>519</v>
      </c>
      <c r="D971" s="0" t="n">
        <v>7</v>
      </c>
      <c r="E971" s="0" t="s">
        <v>2643</v>
      </c>
      <c r="F971" s="3" t="n">
        <f aca="false">D971*_xlfn.XLOOKUP(C971,Item_Master!A:A,Item_Master!G:G)</f>
        <v>3990</v>
      </c>
      <c r="G971" s="0" t="str">
        <f aca="false">TEXT(B971,"MMM YYYY")</f>
        <v>Dec 2025</v>
      </c>
    </row>
    <row r="972" customFormat="false" ht="15" hidden="false" customHeight="false" outlineLevel="0" collapsed="false">
      <c r="A972" s="0" t="s">
        <v>2644</v>
      </c>
      <c r="B972" s="4" t="n">
        <v>46017</v>
      </c>
      <c r="C972" s="0" t="s">
        <v>537</v>
      </c>
      <c r="D972" s="0" t="n">
        <v>31</v>
      </c>
      <c r="E972" s="0" t="s">
        <v>2645</v>
      </c>
      <c r="F972" s="3" t="n">
        <f aca="false">D972*_xlfn.XLOOKUP(C972,Item_Master!A:A,Item_Master!G:G)</f>
        <v>457560</v>
      </c>
      <c r="G972" s="0" t="str">
        <f aca="false">TEXT(B972,"MMM YYYY")</f>
        <v>Dec 2025</v>
      </c>
    </row>
    <row r="973" customFormat="false" ht="15" hidden="false" customHeight="false" outlineLevel="0" collapsed="false">
      <c r="A973" s="0" t="s">
        <v>2646</v>
      </c>
      <c r="B973" s="4" t="n">
        <v>46017</v>
      </c>
      <c r="C973" s="0" t="s">
        <v>588</v>
      </c>
      <c r="D973" s="0" t="n">
        <v>26</v>
      </c>
      <c r="E973" s="0" t="s">
        <v>2647</v>
      </c>
      <c r="F973" s="3" t="n">
        <f aca="false">D973*_xlfn.XLOOKUP(C973,Item_Master!A:A,Item_Master!G:G)</f>
        <v>79820</v>
      </c>
      <c r="G973" s="0" t="str">
        <f aca="false">TEXT(B973,"MMM YYYY")</f>
        <v>Dec 2025</v>
      </c>
    </row>
    <row r="974" customFormat="false" ht="15" hidden="false" customHeight="false" outlineLevel="0" collapsed="false">
      <c r="A974" s="0" t="s">
        <v>2648</v>
      </c>
      <c r="B974" s="4" t="n">
        <v>46017</v>
      </c>
      <c r="C974" s="0" t="s">
        <v>592</v>
      </c>
      <c r="D974" s="0" t="n">
        <v>10</v>
      </c>
      <c r="E974" s="0" t="s">
        <v>2649</v>
      </c>
      <c r="F974" s="3" t="n">
        <f aca="false">D974*_xlfn.XLOOKUP(C974,Item_Master!A:A,Item_Master!G:G)</f>
        <v>31900</v>
      </c>
      <c r="G974" s="0" t="str">
        <f aca="false">TEXT(B974,"MMM YYYY")</f>
        <v>Dec 2025</v>
      </c>
    </row>
    <row r="975" customFormat="false" ht="15" hidden="false" customHeight="false" outlineLevel="0" collapsed="false">
      <c r="A975" s="0" t="s">
        <v>2650</v>
      </c>
      <c r="B975" s="4" t="n">
        <v>46018</v>
      </c>
      <c r="C975" s="0" t="s">
        <v>77</v>
      </c>
      <c r="D975" s="0" t="n">
        <v>30</v>
      </c>
      <c r="E975" s="0" t="s">
        <v>2651</v>
      </c>
      <c r="F975" s="3" t="n">
        <f aca="false">D975*_xlfn.XLOOKUP(C975,Item_Master!A:A,Item_Master!G:G)</f>
        <v>28500</v>
      </c>
      <c r="G975" s="0" t="str">
        <f aca="false">TEXT(B975,"MMM YYYY")</f>
        <v>Dec 2025</v>
      </c>
    </row>
    <row r="976" customFormat="false" ht="15" hidden="false" customHeight="false" outlineLevel="0" collapsed="false">
      <c r="A976" s="0" t="s">
        <v>2652</v>
      </c>
      <c r="B976" s="4" t="n">
        <v>46018</v>
      </c>
      <c r="C976" s="0" t="s">
        <v>136</v>
      </c>
      <c r="D976" s="0" t="n">
        <v>9</v>
      </c>
      <c r="E976" s="0" t="s">
        <v>2653</v>
      </c>
      <c r="F976" s="3" t="n">
        <f aca="false">D976*_xlfn.XLOOKUP(C976,Item_Master!A:A,Item_Master!G:G)</f>
        <v>13410</v>
      </c>
      <c r="G976" s="0" t="str">
        <f aca="false">TEXT(B976,"MMM YYYY")</f>
        <v>Dec 2025</v>
      </c>
    </row>
    <row r="977" customFormat="false" ht="15" hidden="false" customHeight="false" outlineLevel="0" collapsed="false">
      <c r="A977" s="0" t="s">
        <v>2654</v>
      </c>
      <c r="B977" s="4" t="n">
        <v>46018</v>
      </c>
      <c r="C977" s="0" t="s">
        <v>191</v>
      </c>
      <c r="D977" s="0" t="n">
        <v>25</v>
      </c>
      <c r="E977" s="0" t="s">
        <v>2655</v>
      </c>
      <c r="F977" s="3" t="n">
        <f aca="false">D977*_xlfn.XLOOKUP(C977,Item_Master!A:A,Item_Master!G:G)</f>
        <v>287000</v>
      </c>
      <c r="G977" s="0" t="str">
        <f aca="false">TEXT(B977,"MMM YYYY")</f>
        <v>Dec 2025</v>
      </c>
    </row>
    <row r="978" customFormat="false" ht="15" hidden="false" customHeight="false" outlineLevel="0" collapsed="false">
      <c r="A978" s="0" t="s">
        <v>2656</v>
      </c>
      <c r="B978" s="4" t="n">
        <v>46018</v>
      </c>
      <c r="C978" s="0" t="s">
        <v>573</v>
      </c>
      <c r="D978" s="0" t="n">
        <v>11</v>
      </c>
      <c r="E978" s="0" t="s">
        <v>2657</v>
      </c>
      <c r="F978" s="3" t="n">
        <f aca="false">D978*_xlfn.XLOOKUP(C978,Item_Master!A:A,Item_Master!G:G)</f>
        <v>22550</v>
      </c>
      <c r="G978" s="0" t="str">
        <f aca="false">TEXT(B978,"MMM YYYY")</f>
        <v>Dec 2025</v>
      </c>
    </row>
    <row r="979" customFormat="false" ht="15" hidden="false" customHeight="false" outlineLevel="0" collapsed="false">
      <c r="A979" s="0" t="s">
        <v>2658</v>
      </c>
      <c r="B979" s="4" t="n">
        <v>46018</v>
      </c>
      <c r="C979" s="0" t="s">
        <v>580</v>
      </c>
      <c r="D979" s="0" t="n">
        <v>1</v>
      </c>
      <c r="E979" s="0" t="s">
        <v>2659</v>
      </c>
      <c r="F979" s="3" t="n">
        <f aca="false">D979*_xlfn.XLOOKUP(C979,Item_Master!A:A,Item_Master!G:G)</f>
        <v>24180</v>
      </c>
      <c r="G979" s="0" t="str">
        <f aca="false">TEXT(B979,"MMM YYYY")</f>
        <v>Dec 2025</v>
      </c>
    </row>
    <row r="980" customFormat="false" ht="15" hidden="false" customHeight="false" outlineLevel="0" collapsed="false">
      <c r="A980" s="0" t="s">
        <v>2660</v>
      </c>
      <c r="B980" s="4" t="n">
        <v>46019</v>
      </c>
      <c r="C980" s="0" t="s">
        <v>75</v>
      </c>
      <c r="D980" s="0" t="n">
        <v>6</v>
      </c>
      <c r="E980" s="0" t="s">
        <v>2661</v>
      </c>
      <c r="F980" s="3" t="n">
        <f aca="false">D980*_xlfn.XLOOKUP(C980,Item_Master!A:A,Item_Master!G:G)</f>
        <v>14040</v>
      </c>
      <c r="G980" s="0" t="str">
        <f aca="false">TEXT(B980,"MMM YYYY")</f>
        <v>Dec 2025</v>
      </c>
    </row>
    <row r="981" customFormat="false" ht="15" hidden="false" customHeight="false" outlineLevel="0" collapsed="false">
      <c r="A981" s="0" t="s">
        <v>2662</v>
      </c>
      <c r="B981" s="4" t="n">
        <v>46019</v>
      </c>
      <c r="C981" s="0" t="s">
        <v>83</v>
      </c>
      <c r="D981" s="0" t="n">
        <v>11</v>
      </c>
      <c r="E981" s="0" t="s">
        <v>2663</v>
      </c>
      <c r="F981" s="3" t="n">
        <f aca="false">D981*_xlfn.XLOOKUP(C981,Item_Master!A:A,Item_Master!G:G)</f>
        <v>61490</v>
      </c>
      <c r="G981" s="0" t="str">
        <f aca="false">TEXT(B981,"MMM YYYY")</f>
        <v>Dec 2025</v>
      </c>
    </row>
    <row r="982" customFormat="false" ht="15" hidden="false" customHeight="false" outlineLevel="0" collapsed="false">
      <c r="A982" s="0" t="s">
        <v>2664</v>
      </c>
      <c r="B982" s="4" t="n">
        <v>46019</v>
      </c>
      <c r="C982" s="0" t="s">
        <v>306</v>
      </c>
      <c r="D982" s="0" t="n">
        <v>35</v>
      </c>
      <c r="E982" s="0" t="s">
        <v>2665</v>
      </c>
      <c r="F982" s="3" t="n">
        <f aca="false">D982*_xlfn.XLOOKUP(C982,Item_Master!A:A,Item_Master!G:G)</f>
        <v>35700</v>
      </c>
      <c r="G982" s="0" t="str">
        <f aca="false">TEXT(B982,"MMM YYYY")</f>
        <v>Dec 2025</v>
      </c>
    </row>
    <row r="983" customFormat="false" ht="15" hidden="false" customHeight="false" outlineLevel="0" collapsed="false">
      <c r="A983" s="0" t="s">
        <v>2666</v>
      </c>
      <c r="B983" s="4" t="n">
        <v>46019</v>
      </c>
      <c r="C983" s="0" t="s">
        <v>347</v>
      </c>
      <c r="D983" s="0" t="n">
        <v>3</v>
      </c>
      <c r="E983" s="0" t="s">
        <v>2667</v>
      </c>
      <c r="F983" s="3" t="n">
        <f aca="false">D983*_xlfn.XLOOKUP(C983,Item_Master!A:A,Item_Master!G:G)</f>
        <v>720</v>
      </c>
      <c r="G983" s="0" t="str">
        <f aca="false">TEXT(B983,"MMM YYYY")</f>
        <v>Dec 2025</v>
      </c>
    </row>
    <row r="984" customFormat="false" ht="15" hidden="false" customHeight="false" outlineLevel="0" collapsed="false">
      <c r="A984" s="0" t="s">
        <v>2668</v>
      </c>
      <c r="B984" s="4" t="n">
        <v>46019</v>
      </c>
      <c r="C984" s="0" t="s">
        <v>391</v>
      </c>
      <c r="D984" s="0" t="n">
        <v>10</v>
      </c>
      <c r="E984" s="0" t="s">
        <v>2669</v>
      </c>
      <c r="F984" s="3" t="n">
        <f aca="false">D984*_xlfn.XLOOKUP(C984,Item_Master!A:A,Item_Master!G:G)</f>
        <v>13900</v>
      </c>
      <c r="G984" s="0" t="str">
        <f aca="false">TEXT(B984,"MMM YYYY")</f>
        <v>Dec 2025</v>
      </c>
    </row>
    <row r="985" customFormat="false" ht="15" hidden="false" customHeight="false" outlineLevel="0" collapsed="false">
      <c r="A985" s="0" t="s">
        <v>2670</v>
      </c>
      <c r="B985" s="4" t="n">
        <v>46019</v>
      </c>
      <c r="C985" s="0" t="s">
        <v>396</v>
      </c>
      <c r="D985" s="0" t="n">
        <v>27</v>
      </c>
      <c r="E985" s="0" t="s">
        <v>2671</v>
      </c>
      <c r="F985" s="3" t="n">
        <f aca="false">D985*_xlfn.XLOOKUP(C985,Item_Master!A:A,Item_Master!G:G)</f>
        <v>71280</v>
      </c>
      <c r="G985" s="0" t="str">
        <f aca="false">TEXT(B985,"MMM YYYY")</f>
        <v>Dec 2025</v>
      </c>
    </row>
    <row r="986" customFormat="false" ht="15" hidden="false" customHeight="false" outlineLevel="0" collapsed="false">
      <c r="A986" s="0" t="s">
        <v>2672</v>
      </c>
      <c r="B986" s="4" t="n">
        <v>46019</v>
      </c>
      <c r="C986" s="0" t="s">
        <v>401</v>
      </c>
      <c r="D986" s="0" t="n">
        <v>10</v>
      </c>
      <c r="E986" s="0" t="s">
        <v>2673</v>
      </c>
      <c r="F986" s="3" t="n">
        <f aca="false">D986*_xlfn.XLOOKUP(C986,Item_Master!A:A,Item_Master!G:G)</f>
        <v>201100</v>
      </c>
      <c r="G986" s="0" t="str">
        <f aca="false">TEXT(B986,"MMM YYYY")</f>
        <v>Dec 2025</v>
      </c>
    </row>
    <row r="987" customFormat="false" ht="15" hidden="false" customHeight="false" outlineLevel="0" collapsed="false">
      <c r="A987" s="0" t="s">
        <v>2674</v>
      </c>
      <c r="B987" s="4" t="n">
        <v>46019</v>
      </c>
      <c r="C987" s="0" t="s">
        <v>407</v>
      </c>
      <c r="D987" s="0" t="n">
        <v>1</v>
      </c>
      <c r="E987" s="0" t="s">
        <v>2675</v>
      </c>
      <c r="F987" s="3" t="n">
        <f aca="false">D987*_xlfn.XLOOKUP(C987,Item_Master!A:A,Item_Master!G:G)</f>
        <v>210</v>
      </c>
      <c r="G987" s="0" t="str">
        <f aca="false">TEXT(B987,"MMM YYYY")</f>
        <v>Dec 2025</v>
      </c>
    </row>
    <row r="988" customFormat="false" ht="15" hidden="false" customHeight="false" outlineLevel="0" collapsed="false">
      <c r="A988" s="0" t="s">
        <v>2676</v>
      </c>
      <c r="B988" s="4" t="n">
        <v>46019</v>
      </c>
      <c r="C988" s="0" t="s">
        <v>464</v>
      </c>
      <c r="D988" s="0" t="n">
        <v>18</v>
      </c>
      <c r="E988" s="0" t="s">
        <v>2677</v>
      </c>
      <c r="F988" s="3" t="n">
        <f aca="false">D988*_xlfn.XLOOKUP(C988,Item_Master!A:A,Item_Master!G:G)</f>
        <v>14760</v>
      </c>
      <c r="G988" s="0" t="str">
        <f aca="false">TEXT(B988,"MMM YYYY")</f>
        <v>Dec 2025</v>
      </c>
    </row>
    <row r="989" customFormat="false" ht="15" hidden="false" customHeight="false" outlineLevel="0" collapsed="false">
      <c r="A989" s="0" t="s">
        <v>2678</v>
      </c>
      <c r="B989" s="4" t="n">
        <v>46019</v>
      </c>
      <c r="C989" s="0" t="s">
        <v>480</v>
      </c>
      <c r="D989" s="0" t="n">
        <v>16</v>
      </c>
      <c r="E989" s="0" t="s">
        <v>2679</v>
      </c>
      <c r="F989" s="3" t="n">
        <f aca="false">D989*_xlfn.XLOOKUP(C989,Item_Master!A:A,Item_Master!G:G)</f>
        <v>42080</v>
      </c>
      <c r="G989" s="0" t="str">
        <f aca="false">TEXT(B989,"MMM YYYY")</f>
        <v>Dec 2025</v>
      </c>
    </row>
    <row r="990" customFormat="false" ht="15" hidden="false" customHeight="false" outlineLevel="0" collapsed="false">
      <c r="A990" s="0" t="s">
        <v>2680</v>
      </c>
      <c r="B990" s="4" t="n">
        <v>46019</v>
      </c>
      <c r="C990" s="0" t="s">
        <v>533</v>
      </c>
      <c r="D990" s="0" t="n">
        <v>20</v>
      </c>
      <c r="E990" s="0" t="s">
        <v>2681</v>
      </c>
      <c r="F990" s="3" t="n">
        <f aca="false">D990*_xlfn.XLOOKUP(C990,Item_Master!A:A,Item_Master!G:G)</f>
        <v>34400</v>
      </c>
      <c r="G990" s="0" t="str">
        <f aca="false">TEXT(B990,"MMM YYYY")</f>
        <v>Dec 2025</v>
      </c>
    </row>
    <row r="991" customFormat="false" ht="15" hidden="false" customHeight="false" outlineLevel="0" collapsed="false">
      <c r="A991" s="0" t="s">
        <v>2682</v>
      </c>
      <c r="B991" s="4" t="n">
        <v>46019</v>
      </c>
      <c r="C991" s="0" t="s">
        <v>622</v>
      </c>
      <c r="D991" s="0" t="n">
        <v>28</v>
      </c>
      <c r="E991" s="0" t="s">
        <v>2683</v>
      </c>
      <c r="F991" s="3" t="n">
        <f aca="false">D991*_xlfn.XLOOKUP(C991,Item_Master!A:A,Item_Master!G:G)</f>
        <v>31080</v>
      </c>
      <c r="G991" s="0" t="str">
        <f aca="false">TEXT(B991,"MMM YYYY")</f>
        <v>Dec 2025</v>
      </c>
    </row>
    <row r="992" customFormat="false" ht="15" hidden="false" customHeight="false" outlineLevel="0" collapsed="false">
      <c r="A992" s="0" t="s">
        <v>2684</v>
      </c>
      <c r="B992" s="4" t="n">
        <v>46019</v>
      </c>
      <c r="C992" s="0" t="s">
        <v>626</v>
      </c>
      <c r="D992" s="0" t="n">
        <v>11</v>
      </c>
      <c r="E992" s="0" t="s">
        <v>2685</v>
      </c>
      <c r="F992" s="3" t="n">
        <f aca="false">D992*_xlfn.XLOOKUP(C992,Item_Master!A:A,Item_Master!G:G)</f>
        <v>3630</v>
      </c>
      <c r="G992" s="0" t="str">
        <f aca="false">TEXT(B992,"MMM YYYY")</f>
        <v>Dec 2025</v>
      </c>
    </row>
    <row r="993" customFormat="false" ht="15" hidden="false" customHeight="false" outlineLevel="0" collapsed="false">
      <c r="A993" s="0" t="s">
        <v>2686</v>
      </c>
      <c r="B993" s="4" t="n">
        <v>46019</v>
      </c>
      <c r="C993" s="0" t="s">
        <v>632</v>
      </c>
      <c r="D993" s="0" t="n">
        <v>2</v>
      </c>
      <c r="E993" s="0" t="s">
        <v>2687</v>
      </c>
      <c r="F993" s="3" t="n">
        <f aca="false">D993*_xlfn.XLOOKUP(C993,Item_Master!A:A,Item_Master!G:G)</f>
        <v>12900</v>
      </c>
      <c r="G993" s="0" t="str">
        <f aca="false">TEXT(B993,"MMM YYYY")</f>
        <v>Dec 2025</v>
      </c>
    </row>
    <row r="994" customFormat="false" ht="15" hidden="false" customHeight="false" outlineLevel="0" collapsed="false">
      <c r="A994" s="0" t="s">
        <v>2688</v>
      </c>
      <c r="B994" s="4" t="n">
        <v>46019</v>
      </c>
      <c r="C994" s="0" t="s">
        <v>688</v>
      </c>
      <c r="D994" s="0" t="n">
        <v>15</v>
      </c>
      <c r="E994" s="0" t="s">
        <v>2689</v>
      </c>
      <c r="F994" s="3" t="n">
        <f aca="false">D994*_xlfn.XLOOKUP(C994,Item_Master!A:A,Item_Master!G:G)</f>
        <v>146100</v>
      </c>
      <c r="G994" s="0" t="str">
        <f aca="false">TEXT(B994,"MMM YYYY")</f>
        <v>Dec 2025</v>
      </c>
    </row>
    <row r="995" customFormat="false" ht="15" hidden="false" customHeight="false" outlineLevel="0" collapsed="false">
      <c r="A995" s="0" t="s">
        <v>2690</v>
      </c>
      <c r="B995" s="4" t="n">
        <v>46020</v>
      </c>
      <c r="C995" s="0" t="s">
        <v>41</v>
      </c>
      <c r="D995" s="0" t="n">
        <v>3</v>
      </c>
      <c r="E995" s="0" t="s">
        <v>2691</v>
      </c>
      <c r="F995" s="3" t="n">
        <f aca="false">D995*_xlfn.XLOOKUP(C995,Item_Master!A:A,Item_Master!G:G)</f>
        <v>3060</v>
      </c>
      <c r="G995" s="0" t="str">
        <f aca="false">TEXT(B995,"MMM YYYY")</f>
        <v>Dec 2025</v>
      </c>
    </row>
    <row r="996" customFormat="false" ht="15" hidden="false" customHeight="false" outlineLevel="0" collapsed="false">
      <c r="A996" s="0" t="s">
        <v>2692</v>
      </c>
      <c r="B996" s="4" t="n">
        <v>46020</v>
      </c>
      <c r="C996" s="0" t="s">
        <v>92</v>
      </c>
      <c r="D996" s="0" t="n">
        <v>23</v>
      </c>
      <c r="E996" s="0" t="s">
        <v>2693</v>
      </c>
      <c r="F996" s="3" t="n">
        <f aca="false">D996*_xlfn.XLOOKUP(C996,Item_Master!A:A,Item_Master!G:G)</f>
        <v>55890</v>
      </c>
      <c r="G996" s="0" t="str">
        <f aca="false">TEXT(B996,"MMM YYYY")</f>
        <v>Dec 2025</v>
      </c>
    </row>
    <row r="997" customFormat="false" ht="15" hidden="false" customHeight="false" outlineLevel="0" collapsed="false">
      <c r="A997" s="0" t="s">
        <v>2694</v>
      </c>
      <c r="B997" s="4" t="n">
        <v>46020</v>
      </c>
      <c r="C997" s="0" t="s">
        <v>110</v>
      </c>
      <c r="D997" s="0" t="n">
        <v>16</v>
      </c>
      <c r="E997" s="0" t="s">
        <v>2695</v>
      </c>
      <c r="F997" s="3" t="n">
        <f aca="false">D997*_xlfn.XLOOKUP(C997,Item_Master!A:A,Item_Master!G:G)</f>
        <v>15360</v>
      </c>
      <c r="G997" s="0" t="str">
        <f aca="false">TEXT(B997,"MMM YYYY")</f>
        <v>Dec 2025</v>
      </c>
    </row>
    <row r="998" customFormat="false" ht="15" hidden="false" customHeight="false" outlineLevel="0" collapsed="false">
      <c r="A998" s="0" t="s">
        <v>2696</v>
      </c>
      <c r="B998" s="4" t="n">
        <v>46020</v>
      </c>
      <c r="C998" s="0" t="s">
        <v>133</v>
      </c>
      <c r="D998" s="0" t="n">
        <v>40</v>
      </c>
      <c r="E998" s="0" t="s">
        <v>2697</v>
      </c>
      <c r="F998" s="3" t="n">
        <f aca="false">D998*_xlfn.XLOOKUP(C998,Item_Master!A:A,Item_Master!G:G)</f>
        <v>49600</v>
      </c>
      <c r="G998" s="0" t="str">
        <f aca="false">TEXT(B998,"MMM YYYY")</f>
        <v>Dec 2025</v>
      </c>
    </row>
    <row r="999" customFormat="false" ht="15" hidden="false" customHeight="false" outlineLevel="0" collapsed="false">
      <c r="A999" s="0" t="s">
        <v>2698</v>
      </c>
      <c r="B999" s="4" t="n">
        <v>46020</v>
      </c>
      <c r="C999" s="0" t="s">
        <v>245</v>
      </c>
      <c r="D999" s="0" t="n">
        <v>13</v>
      </c>
      <c r="E999" s="0" t="s">
        <v>2699</v>
      </c>
      <c r="F999" s="3" t="n">
        <f aca="false">D999*_xlfn.XLOOKUP(C999,Item_Master!A:A,Item_Master!G:G)</f>
        <v>29640</v>
      </c>
      <c r="G999" s="0" t="str">
        <f aca="false">TEXT(B999,"MMM YYYY")</f>
        <v>Dec 2025</v>
      </c>
    </row>
    <row r="1000" customFormat="false" ht="15" hidden="false" customHeight="false" outlineLevel="0" collapsed="false">
      <c r="A1000" s="0" t="s">
        <v>2700</v>
      </c>
      <c r="B1000" s="4" t="n">
        <v>46020</v>
      </c>
      <c r="C1000" s="0" t="s">
        <v>304</v>
      </c>
      <c r="D1000" s="0" t="n">
        <v>11</v>
      </c>
      <c r="E1000" s="0" t="s">
        <v>2701</v>
      </c>
      <c r="F1000" s="3" t="n">
        <f aca="false">D1000*_xlfn.XLOOKUP(C1000,Item_Master!A:A,Item_Master!G:G)</f>
        <v>1100</v>
      </c>
      <c r="G1000" s="0" t="str">
        <f aca="false">TEXT(B1000,"MMM YYYY")</f>
        <v>Dec 2025</v>
      </c>
    </row>
    <row r="1001" customFormat="false" ht="15" hidden="false" customHeight="false" outlineLevel="0" collapsed="false">
      <c r="A1001" s="0" t="s">
        <v>2702</v>
      </c>
      <c r="B1001" s="4" t="n">
        <v>46020</v>
      </c>
      <c r="C1001" s="0" t="s">
        <v>314</v>
      </c>
      <c r="D1001" s="0" t="n">
        <v>1</v>
      </c>
      <c r="E1001" s="0" t="s">
        <v>2703</v>
      </c>
      <c r="F1001" s="3" t="n">
        <f aca="false">D1001*_xlfn.XLOOKUP(C1001,Item_Master!A:A,Item_Master!G:G)</f>
        <v>3430</v>
      </c>
      <c r="G1001" s="0" t="str">
        <f aca="false">TEXT(B1001,"MMM YYYY")</f>
        <v>Dec 2025</v>
      </c>
    </row>
    <row r="1002" customFormat="false" ht="15" hidden="false" customHeight="false" outlineLevel="0" collapsed="false">
      <c r="A1002" s="0" t="s">
        <v>2704</v>
      </c>
      <c r="B1002" s="4" t="n">
        <v>46020</v>
      </c>
      <c r="C1002" s="0" t="s">
        <v>474</v>
      </c>
      <c r="D1002" s="0" t="n">
        <v>31</v>
      </c>
      <c r="E1002" s="0" t="s">
        <v>2705</v>
      </c>
      <c r="F1002" s="3" t="n">
        <f aca="false">D1002*_xlfn.XLOOKUP(C1002,Item_Master!A:A,Item_Master!G:G)</f>
        <v>282720</v>
      </c>
      <c r="G1002" s="0" t="str">
        <f aca="false">TEXT(B1002,"MMM YYYY")</f>
        <v>Dec 2025</v>
      </c>
    </row>
    <row r="1003" customFormat="false" ht="15" hidden="false" customHeight="false" outlineLevel="0" collapsed="false">
      <c r="A1003" s="0" t="s">
        <v>2706</v>
      </c>
      <c r="B1003" s="4" t="n">
        <v>46020</v>
      </c>
      <c r="C1003" s="0" t="s">
        <v>531</v>
      </c>
      <c r="D1003" s="0" t="n">
        <v>23</v>
      </c>
      <c r="E1003" s="0" t="s">
        <v>2707</v>
      </c>
      <c r="F1003" s="3" t="n">
        <f aca="false">D1003*_xlfn.XLOOKUP(C1003,Item_Master!A:A,Item_Master!G:G)</f>
        <v>37260</v>
      </c>
      <c r="G1003" s="0" t="str">
        <f aca="false">TEXT(B1003,"MMM YYYY")</f>
        <v>Dec 2025</v>
      </c>
    </row>
    <row r="1004" customFormat="false" ht="15" hidden="false" customHeight="false" outlineLevel="0" collapsed="false">
      <c r="A1004" s="0" t="s">
        <v>2708</v>
      </c>
      <c r="B1004" s="4" t="n">
        <v>46020</v>
      </c>
      <c r="C1004" s="0" t="s">
        <v>629</v>
      </c>
      <c r="D1004" s="0" t="n">
        <v>25</v>
      </c>
      <c r="E1004" s="0" t="s">
        <v>2709</v>
      </c>
      <c r="F1004" s="3" t="n">
        <f aca="false">D1004*_xlfn.XLOOKUP(C1004,Item_Master!A:A,Item_Master!G:G)</f>
        <v>301500</v>
      </c>
      <c r="G1004" s="0" t="str">
        <f aca="false">TEXT(B1004,"MMM YYYY")</f>
        <v>Dec 2025</v>
      </c>
    </row>
    <row r="1005" customFormat="false" ht="15" hidden="false" customHeight="false" outlineLevel="0" collapsed="false">
      <c r="A1005" s="0" t="s">
        <v>2710</v>
      </c>
      <c r="B1005" s="4" t="n">
        <v>46020</v>
      </c>
      <c r="C1005" s="0" t="s">
        <v>643</v>
      </c>
      <c r="D1005" s="0" t="n">
        <v>1</v>
      </c>
      <c r="E1005" s="0" t="s">
        <v>2711</v>
      </c>
      <c r="F1005" s="3" t="n">
        <f aca="false">D1005*_xlfn.XLOOKUP(C1005,Item_Master!A:A,Item_Master!G:G)</f>
        <v>1400</v>
      </c>
      <c r="G1005" s="0" t="str">
        <f aca="false">TEXT(B1005,"MMM YYYY")</f>
        <v>Dec 2025</v>
      </c>
    </row>
    <row r="1006" customFormat="false" ht="15" hidden="false" customHeight="false" outlineLevel="0" collapsed="false">
      <c r="A1006" s="0" t="s">
        <v>2712</v>
      </c>
      <c r="B1006" s="4" t="n">
        <v>46021</v>
      </c>
      <c r="C1006" s="0" t="s">
        <v>77</v>
      </c>
      <c r="D1006" s="0" t="n">
        <v>7</v>
      </c>
      <c r="E1006" s="0" t="s">
        <v>2713</v>
      </c>
      <c r="F1006" s="3" t="n">
        <f aca="false">D1006*_xlfn.XLOOKUP(C1006,Item_Master!A:A,Item_Master!G:G)</f>
        <v>6650</v>
      </c>
      <c r="G1006" s="0" t="str">
        <f aca="false">TEXT(B1006,"MMM YYYY")</f>
        <v>Dec 2025</v>
      </c>
    </row>
    <row r="1007" customFormat="false" ht="15" hidden="false" customHeight="false" outlineLevel="0" collapsed="false">
      <c r="A1007" s="0" t="s">
        <v>2714</v>
      </c>
      <c r="B1007" s="4" t="n">
        <v>46021</v>
      </c>
      <c r="C1007" s="0" t="s">
        <v>98</v>
      </c>
      <c r="D1007" s="0" t="n">
        <v>29</v>
      </c>
      <c r="E1007" s="0" t="s">
        <v>2715</v>
      </c>
      <c r="F1007" s="3" t="n">
        <f aca="false">D1007*_xlfn.XLOOKUP(C1007,Item_Master!A:A,Item_Master!G:G)</f>
        <v>28710</v>
      </c>
      <c r="G1007" s="0" t="str">
        <f aca="false">TEXT(B1007,"MMM YYYY")</f>
        <v>Dec 2025</v>
      </c>
    </row>
    <row r="1008" customFormat="false" ht="15" hidden="false" customHeight="false" outlineLevel="0" collapsed="false">
      <c r="A1008" s="0" t="s">
        <v>2716</v>
      </c>
      <c r="B1008" s="4" t="n">
        <v>46021</v>
      </c>
      <c r="C1008" s="0" t="s">
        <v>146</v>
      </c>
      <c r="D1008" s="0" t="n">
        <v>9</v>
      </c>
      <c r="E1008" s="0" t="s">
        <v>2717</v>
      </c>
      <c r="F1008" s="3" t="n">
        <f aca="false">D1008*_xlfn.XLOOKUP(C1008,Item_Master!A:A,Item_Master!G:G)</f>
        <v>24840</v>
      </c>
      <c r="G1008" s="0" t="str">
        <f aca="false">TEXT(B1008,"MMM YYYY")</f>
        <v>Dec 2025</v>
      </c>
    </row>
    <row r="1009" customFormat="false" ht="15" hidden="false" customHeight="false" outlineLevel="0" collapsed="false">
      <c r="A1009" s="0" t="s">
        <v>2718</v>
      </c>
      <c r="B1009" s="4" t="n">
        <v>46021</v>
      </c>
      <c r="C1009" s="0" t="s">
        <v>163</v>
      </c>
      <c r="D1009" s="0" t="n">
        <v>12</v>
      </c>
      <c r="E1009" s="0" t="s">
        <v>2719</v>
      </c>
      <c r="F1009" s="3" t="n">
        <f aca="false">D1009*_xlfn.XLOOKUP(C1009,Item_Master!A:A,Item_Master!G:G)</f>
        <v>224760</v>
      </c>
      <c r="G1009" s="0" t="str">
        <f aca="false">TEXT(B1009,"MMM YYYY")</f>
        <v>Dec 2025</v>
      </c>
    </row>
    <row r="1010" customFormat="false" ht="15" hidden="false" customHeight="false" outlineLevel="0" collapsed="false">
      <c r="A1010" s="0" t="s">
        <v>2720</v>
      </c>
      <c r="B1010" s="4" t="n">
        <v>46021</v>
      </c>
      <c r="C1010" s="0" t="s">
        <v>189</v>
      </c>
      <c r="D1010" s="0" t="n">
        <v>28</v>
      </c>
      <c r="E1010" s="0" t="s">
        <v>2721</v>
      </c>
      <c r="F1010" s="3" t="n">
        <f aca="false">D1010*_xlfn.XLOOKUP(C1010,Item_Master!A:A,Item_Master!G:G)</f>
        <v>134960</v>
      </c>
      <c r="G1010" s="0" t="str">
        <f aca="false">TEXT(B1010,"MMM YYYY")</f>
        <v>Dec 2025</v>
      </c>
    </row>
    <row r="1011" customFormat="false" ht="15" hidden="false" customHeight="false" outlineLevel="0" collapsed="false">
      <c r="A1011" s="0" t="s">
        <v>2722</v>
      </c>
      <c r="B1011" s="4" t="n">
        <v>46021</v>
      </c>
      <c r="C1011" s="0" t="s">
        <v>219</v>
      </c>
      <c r="D1011" s="0" t="n">
        <v>1</v>
      </c>
      <c r="E1011" s="0" t="s">
        <v>2723</v>
      </c>
      <c r="F1011" s="3" t="n">
        <f aca="false">D1011*_xlfn.XLOOKUP(C1011,Item_Master!A:A,Item_Master!G:G)</f>
        <v>1220</v>
      </c>
      <c r="G1011" s="0" t="str">
        <f aca="false">TEXT(B1011,"MMM YYYY")</f>
        <v>Dec 2025</v>
      </c>
    </row>
    <row r="1012" customFormat="false" ht="15" hidden="false" customHeight="false" outlineLevel="0" collapsed="false">
      <c r="A1012" s="0" t="s">
        <v>2724</v>
      </c>
      <c r="B1012" s="4" t="n">
        <v>46021</v>
      </c>
      <c r="C1012" s="0" t="s">
        <v>366</v>
      </c>
      <c r="D1012" s="0" t="n">
        <v>25</v>
      </c>
      <c r="E1012" s="0" t="s">
        <v>2725</v>
      </c>
      <c r="F1012" s="3" t="n">
        <f aca="false">D1012*_xlfn.XLOOKUP(C1012,Item_Master!A:A,Item_Master!G:G)</f>
        <v>68250</v>
      </c>
      <c r="G1012" s="0" t="str">
        <f aca="false">TEXT(B1012,"MMM YYYY")</f>
        <v>Dec 2025</v>
      </c>
    </row>
    <row r="1013" customFormat="false" ht="15" hidden="false" customHeight="false" outlineLevel="0" collapsed="false">
      <c r="A1013" s="0" t="s">
        <v>2726</v>
      </c>
      <c r="B1013" s="4" t="n">
        <v>46021</v>
      </c>
      <c r="C1013" s="0" t="s">
        <v>384</v>
      </c>
      <c r="D1013" s="0" t="n">
        <v>33</v>
      </c>
      <c r="E1013" s="0" t="s">
        <v>2727</v>
      </c>
      <c r="F1013" s="3" t="n">
        <f aca="false">D1013*_xlfn.XLOOKUP(C1013,Item_Master!A:A,Item_Master!G:G)</f>
        <v>54450</v>
      </c>
      <c r="G1013" s="0" t="str">
        <f aca="false">TEXT(B1013,"MMM YYYY")</f>
        <v>Dec 2025</v>
      </c>
    </row>
    <row r="1014" customFormat="false" ht="15" hidden="false" customHeight="false" outlineLevel="0" collapsed="false">
      <c r="A1014" s="0" t="s">
        <v>2728</v>
      </c>
      <c r="B1014" s="4" t="n">
        <v>46021</v>
      </c>
      <c r="C1014" s="0" t="s">
        <v>428</v>
      </c>
      <c r="D1014" s="0" t="n">
        <v>31</v>
      </c>
      <c r="E1014" s="0" t="s">
        <v>2729</v>
      </c>
      <c r="F1014" s="3" t="n">
        <f aca="false">D1014*_xlfn.XLOOKUP(C1014,Item_Master!A:A,Item_Master!G:G)</f>
        <v>34720</v>
      </c>
      <c r="G1014" s="0" t="str">
        <f aca="false">TEXT(B1014,"MMM YYYY")</f>
        <v>Dec 2025</v>
      </c>
    </row>
    <row r="1015" customFormat="false" ht="15" hidden="false" customHeight="false" outlineLevel="0" collapsed="false">
      <c r="A1015" s="0" t="s">
        <v>2730</v>
      </c>
      <c r="B1015" s="4" t="n">
        <v>46021</v>
      </c>
      <c r="C1015" s="0" t="s">
        <v>474</v>
      </c>
      <c r="D1015" s="0" t="n">
        <v>16</v>
      </c>
      <c r="E1015" s="0" t="s">
        <v>2731</v>
      </c>
      <c r="F1015" s="3" t="n">
        <f aca="false">D1015*_xlfn.XLOOKUP(C1015,Item_Master!A:A,Item_Master!G:G)</f>
        <v>145920</v>
      </c>
      <c r="G1015" s="0" t="str">
        <f aca="false">TEXT(B1015,"MMM YYYY")</f>
        <v>Dec 2025</v>
      </c>
    </row>
    <row r="1016" customFormat="false" ht="15" hidden="false" customHeight="false" outlineLevel="0" collapsed="false">
      <c r="A1016" s="0" t="s">
        <v>2732</v>
      </c>
      <c r="B1016" s="4" t="n">
        <v>46021</v>
      </c>
      <c r="C1016" s="0" t="s">
        <v>527</v>
      </c>
      <c r="D1016" s="0" t="n">
        <v>18</v>
      </c>
      <c r="E1016" s="0" t="s">
        <v>2733</v>
      </c>
      <c r="F1016" s="3" t="n">
        <f aca="false">D1016*_xlfn.XLOOKUP(C1016,Item_Master!A:A,Item_Master!G:G)</f>
        <v>30960</v>
      </c>
      <c r="G1016" s="0" t="str">
        <f aca="false">TEXT(B1016,"MMM YYYY")</f>
        <v>Dec 2025</v>
      </c>
    </row>
    <row r="1017" customFormat="false" ht="15" hidden="false" customHeight="false" outlineLevel="0" collapsed="false">
      <c r="A1017" s="0" t="s">
        <v>2734</v>
      </c>
      <c r="B1017" s="4" t="n">
        <v>46021</v>
      </c>
      <c r="C1017" s="0" t="s">
        <v>616</v>
      </c>
      <c r="D1017" s="0" t="n">
        <v>2</v>
      </c>
      <c r="E1017" s="0" t="s">
        <v>2735</v>
      </c>
      <c r="F1017" s="3" t="n">
        <f aca="false">D1017*_xlfn.XLOOKUP(C1017,Item_Master!A:A,Item_Master!G:G)</f>
        <v>7520</v>
      </c>
      <c r="G1017" s="0" t="str">
        <f aca="false">TEXT(B1017,"MMM YYYY")</f>
        <v>Dec 2025</v>
      </c>
    </row>
    <row r="1018" customFormat="false" ht="15" hidden="false" customHeight="false" outlineLevel="0" collapsed="false">
      <c r="A1018" s="0" t="s">
        <v>2736</v>
      </c>
      <c r="B1018" s="4" t="n">
        <v>46022</v>
      </c>
      <c r="C1018" s="0" t="s">
        <v>209</v>
      </c>
      <c r="D1018" s="0" t="n">
        <v>4</v>
      </c>
      <c r="E1018" s="0" t="s">
        <v>2737</v>
      </c>
      <c r="F1018" s="3" t="n">
        <f aca="false">D1018*_xlfn.XLOOKUP(C1018,Item_Master!A:A,Item_Master!G:G)</f>
        <v>4360</v>
      </c>
      <c r="G1018" s="0" t="str">
        <f aca="false">TEXT(B1018,"MMM YYYY")</f>
        <v>Dec 2025</v>
      </c>
    </row>
    <row r="1019" customFormat="false" ht="15" hidden="false" customHeight="false" outlineLevel="0" collapsed="false">
      <c r="A1019" s="0" t="s">
        <v>2738</v>
      </c>
      <c r="B1019" s="4" t="n">
        <v>46022</v>
      </c>
      <c r="C1019" s="0" t="s">
        <v>306</v>
      </c>
      <c r="D1019" s="0" t="n">
        <v>36</v>
      </c>
      <c r="E1019" s="0" t="s">
        <v>2739</v>
      </c>
      <c r="F1019" s="3" t="n">
        <f aca="false">D1019*_xlfn.XLOOKUP(C1019,Item_Master!A:A,Item_Master!G:G)</f>
        <v>36720</v>
      </c>
      <c r="G1019" s="0" t="str">
        <f aca="false">TEXT(B1019,"MMM YYYY")</f>
        <v>Dec 2025</v>
      </c>
    </row>
    <row r="1020" customFormat="false" ht="15" hidden="false" customHeight="false" outlineLevel="0" collapsed="false">
      <c r="A1020" s="0" t="s">
        <v>2740</v>
      </c>
      <c r="B1020" s="4" t="n">
        <v>46022</v>
      </c>
      <c r="C1020" s="0" t="s">
        <v>319</v>
      </c>
      <c r="D1020" s="0" t="n">
        <v>6</v>
      </c>
      <c r="E1020" s="0" t="s">
        <v>2741</v>
      </c>
      <c r="F1020" s="3" t="n">
        <f aca="false">D1020*_xlfn.XLOOKUP(C1020,Item_Master!A:A,Item_Master!G:G)</f>
        <v>136260</v>
      </c>
      <c r="G1020" s="0" t="str">
        <f aca="false">TEXT(B1020,"MMM YYYY")</f>
        <v>Dec 2025</v>
      </c>
    </row>
    <row r="1021" customFormat="false" ht="15" hidden="false" customHeight="false" outlineLevel="0" collapsed="false">
      <c r="A1021" s="0" t="s">
        <v>2742</v>
      </c>
      <c r="B1021" s="4" t="n">
        <v>46022</v>
      </c>
      <c r="C1021" s="0" t="s">
        <v>386</v>
      </c>
      <c r="D1021" s="0" t="n">
        <v>21</v>
      </c>
      <c r="E1021" s="0" t="s">
        <v>2743</v>
      </c>
      <c r="F1021" s="3" t="n">
        <f aca="false">D1021*_xlfn.XLOOKUP(C1021,Item_Master!A:A,Item_Master!G:G)</f>
        <v>57540</v>
      </c>
      <c r="G1021" s="0" t="str">
        <f aca="false">TEXT(B1021,"MMM YYYY")</f>
        <v>Dec 2025</v>
      </c>
    </row>
    <row r="1022" customFormat="false" ht="15" hidden="false" customHeight="false" outlineLevel="0" collapsed="false">
      <c r="A1022" s="0" t="s">
        <v>2744</v>
      </c>
      <c r="B1022" s="4" t="n">
        <v>46022</v>
      </c>
      <c r="C1022" s="0" t="s">
        <v>444</v>
      </c>
      <c r="D1022" s="0" t="n">
        <v>26</v>
      </c>
      <c r="E1022" s="0" t="s">
        <v>2745</v>
      </c>
      <c r="F1022" s="3" t="n">
        <f aca="false">D1022*_xlfn.XLOOKUP(C1022,Item_Master!A:A,Item_Master!G:G)</f>
        <v>24440</v>
      </c>
      <c r="G1022" s="0" t="str">
        <f aca="false">TEXT(B1022,"MMM YYYY")</f>
        <v>Dec 2025</v>
      </c>
    </row>
    <row r="1023" customFormat="false" ht="15" hidden="false" customHeight="false" outlineLevel="0" collapsed="false">
      <c r="A1023" s="0" t="s">
        <v>2746</v>
      </c>
      <c r="B1023" s="4" t="n">
        <v>46022</v>
      </c>
      <c r="C1023" s="0" t="s">
        <v>529</v>
      </c>
      <c r="D1023" s="0" t="n">
        <v>16</v>
      </c>
      <c r="E1023" s="0" t="s">
        <v>2747</v>
      </c>
      <c r="F1023" s="3" t="n">
        <f aca="false">D1023*_xlfn.XLOOKUP(C1023,Item_Master!A:A,Item_Master!G:G)</f>
        <v>188160</v>
      </c>
      <c r="G1023" s="0" t="str">
        <f aca="false">TEXT(B1023,"MMM YYYY")</f>
        <v>Dec 2025</v>
      </c>
    </row>
    <row r="1024" customFormat="false" ht="15" hidden="false" customHeight="false" outlineLevel="0" collapsed="false">
      <c r="A1024" s="0" t="s">
        <v>2748</v>
      </c>
      <c r="B1024" s="4" t="n">
        <v>46023</v>
      </c>
      <c r="C1024" s="0" t="s">
        <v>174</v>
      </c>
      <c r="D1024" s="0" t="n">
        <v>24</v>
      </c>
      <c r="E1024" s="0" t="s">
        <v>2749</v>
      </c>
      <c r="F1024" s="3" t="n">
        <f aca="false">D1024*_xlfn.XLOOKUP(C1024,Item_Master!A:A,Item_Master!G:G)</f>
        <v>11520</v>
      </c>
      <c r="G1024" s="0" t="str">
        <f aca="false">TEXT(B1024,"MMM YYYY")</f>
        <v>Jan 2026</v>
      </c>
    </row>
    <row r="1025" customFormat="false" ht="15" hidden="false" customHeight="false" outlineLevel="0" collapsed="false">
      <c r="A1025" s="0" t="s">
        <v>2750</v>
      </c>
      <c r="B1025" s="4" t="n">
        <v>46023</v>
      </c>
      <c r="C1025" s="0" t="s">
        <v>209</v>
      </c>
      <c r="D1025" s="0" t="n">
        <v>13</v>
      </c>
      <c r="E1025" s="0" t="s">
        <v>2751</v>
      </c>
      <c r="F1025" s="3" t="n">
        <f aca="false">D1025*_xlfn.XLOOKUP(C1025,Item_Master!A:A,Item_Master!G:G)</f>
        <v>14170</v>
      </c>
      <c r="G1025" s="0" t="str">
        <f aca="false">TEXT(B1025,"MMM YYYY")</f>
        <v>Jan 2026</v>
      </c>
    </row>
    <row r="1026" customFormat="false" ht="15" hidden="false" customHeight="false" outlineLevel="0" collapsed="false">
      <c r="A1026" s="0" t="s">
        <v>2752</v>
      </c>
      <c r="B1026" s="4" t="n">
        <v>46023</v>
      </c>
      <c r="C1026" s="0" t="s">
        <v>440</v>
      </c>
      <c r="D1026" s="0" t="n">
        <v>3</v>
      </c>
      <c r="E1026" s="0" t="s">
        <v>2753</v>
      </c>
      <c r="F1026" s="3" t="n">
        <f aca="false">D1026*_xlfn.XLOOKUP(C1026,Item_Master!A:A,Item_Master!G:G)</f>
        <v>3810</v>
      </c>
      <c r="G1026" s="0" t="str">
        <f aca="false">TEXT(B1026,"MMM YYYY")</f>
        <v>Jan 2026</v>
      </c>
    </row>
    <row r="1027" customFormat="false" ht="15" hidden="false" customHeight="false" outlineLevel="0" collapsed="false">
      <c r="A1027" s="0" t="s">
        <v>2754</v>
      </c>
      <c r="B1027" s="4" t="n">
        <v>46023</v>
      </c>
      <c r="C1027" s="0" t="s">
        <v>476</v>
      </c>
      <c r="D1027" s="0" t="n">
        <v>15</v>
      </c>
      <c r="E1027" s="0" t="s">
        <v>2755</v>
      </c>
      <c r="F1027" s="3" t="n">
        <f aca="false">D1027*_xlfn.XLOOKUP(C1027,Item_Master!A:A,Item_Master!G:G)</f>
        <v>9150</v>
      </c>
      <c r="G1027" s="0" t="str">
        <f aca="false">TEXT(B1027,"MMM YYYY")</f>
        <v>Jan 2026</v>
      </c>
    </row>
    <row r="1028" customFormat="false" ht="15" hidden="false" customHeight="false" outlineLevel="0" collapsed="false">
      <c r="A1028" s="0" t="s">
        <v>2756</v>
      </c>
      <c r="B1028" s="4" t="n">
        <v>46023</v>
      </c>
      <c r="C1028" s="0" t="s">
        <v>569</v>
      </c>
      <c r="D1028" s="0" t="n">
        <v>30</v>
      </c>
      <c r="E1028" s="0" t="s">
        <v>2757</v>
      </c>
      <c r="F1028" s="3" t="n">
        <f aca="false">D1028*_xlfn.XLOOKUP(C1028,Item_Master!A:A,Item_Master!G:G)</f>
        <v>53400</v>
      </c>
      <c r="G1028" s="0" t="str">
        <f aca="false">TEXT(B1028,"MMM YYYY")</f>
        <v>Jan 2026</v>
      </c>
    </row>
    <row r="1029" customFormat="false" ht="15" hidden="false" customHeight="false" outlineLevel="0" collapsed="false">
      <c r="A1029" s="0" t="s">
        <v>2758</v>
      </c>
      <c r="B1029" s="4" t="n">
        <v>46023</v>
      </c>
      <c r="C1029" s="0" t="s">
        <v>577</v>
      </c>
      <c r="D1029" s="0" t="n">
        <v>16</v>
      </c>
      <c r="E1029" s="0" t="s">
        <v>2759</v>
      </c>
      <c r="F1029" s="3" t="n">
        <f aca="false">D1029*_xlfn.XLOOKUP(C1029,Item_Master!A:A,Item_Master!G:G)</f>
        <v>22240</v>
      </c>
      <c r="G1029" s="0" t="str">
        <f aca="false">TEXT(B1029,"MMM YYYY")</f>
        <v>Jan 2026</v>
      </c>
    </row>
    <row r="1030" customFormat="false" ht="15" hidden="false" customHeight="false" outlineLevel="0" collapsed="false">
      <c r="A1030" s="0" t="s">
        <v>2760</v>
      </c>
      <c r="B1030" s="4" t="n">
        <v>46023</v>
      </c>
      <c r="C1030" s="0" t="s">
        <v>618</v>
      </c>
      <c r="D1030" s="0" t="n">
        <v>35</v>
      </c>
      <c r="E1030" s="0" t="s">
        <v>2761</v>
      </c>
      <c r="F1030" s="3" t="n">
        <f aca="false">D1030*_xlfn.XLOOKUP(C1030,Item_Master!A:A,Item_Master!G:G)</f>
        <v>31150</v>
      </c>
      <c r="G1030" s="0" t="str">
        <f aca="false">TEXT(B1030,"MMM YYYY")</f>
        <v>Jan 2026</v>
      </c>
    </row>
    <row r="1031" customFormat="false" ht="15" hidden="false" customHeight="false" outlineLevel="0" collapsed="false">
      <c r="A1031" s="0" t="s">
        <v>2762</v>
      </c>
      <c r="B1031" s="4" t="n">
        <v>46024</v>
      </c>
      <c r="C1031" s="0" t="s">
        <v>178</v>
      </c>
      <c r="D1031" s="0" t="n">
        <v>33</v>
      </c>
      <c r="E1031" s="0" t="s">
        <v>2763</v>
      </c>
      <c r="F1031" s="3" t="n">
        <f aca="false">D1031*_xlfn.XLOOKUP(C1031,Item_Master!A:A,Item_Master!G:G)</f>
        <v>43230</v>
      </c>
      <c r="G1031" s="0" t="str">
        <f aca="false">TEXT(B1031,"MMM YYYY")</f>
        <v>Jan 2026</v>
      </c>
    </row>
    <row r="1032" customFormat="false" ht="15" hidden="false" customHeight="false" outlineLevel="0" collapsed="false">
      <c r="A1032" s="0" t="s">
        <v>2764</v>
      </c>
      <c r="B1032" s="4" t="n">
        <v>46024</v>
      </c>
      <c r="C1032" s="0" t="s">
        <v>331</v>
      </c>
      <c r="D1032" s="0" t="n">
        <v>22</v>
      </c>
      <c r="E1032" s="0" t="s">
        <v>2765</v>
      </c>
      <c r="F1032" s="3" t="n">
        <f aca="false">D1032*_xlfn.XLOOKUP(C1032,Item_Master!A:A,Item_Master!G:G)</f>
        <v>28600</v>
      </c>
      <c r="G1032" s="0" t="str">
        <f aca="false">TEXT(B1032,"MMM YYYY")</f>
        <v>Jan 2026</v>
      </c>
    </row>
    <row r="1033" customFormat="false" ht="15" hidden="false" customHeight="false" outlineLevel="0" collapsed="false">
      <c r="A1033" s="0" t="s">
        <v>2766</v>
      </c>
      <c r="B1033" s="4" t="n">
        <v>46024</v>
      </c>
      <c r="C1033" s="0" t="s">
        <v>334</v>
      </c>
      <c r="D1033" s="0" t="n">
        <v>5</v>
      </c>
      <c r="E1033" s="0" t="s">
        <v>2767</v>
      </c>
      <c r="F1033" s="3" t="n">
        <f aca="false">D1033*_xlfn.XLOOKUP(C1033,Item_Master!A:A,Item_Master!G:G)</f>
        <v>2200</v>
      </c>
      <c r="G1033" s="0" t="str">
        <f aca="false">TEXT(B1033,"MMM YYYY")</f>
        <v>Jan 2026</v>
      </c>
    </row>
    <row r="1034" customFormat="false" ht="15" hidden="false" customHeight="false" outlineLevel="0" collapsed="false">
      <c r="A1034" s="0" t="s">
        <v>2768</v>
      </c>
      <c r="B1034" s="4" t="n">
        <v>46024</v>
      </c>
      <c r="C1034" s="0" t="s">
        <v>351</v>
      </c>
      <c r="D1034" s="0" t="n">
        <v>17</v>
      </c>
      <c r="E1034" s="0" t="s">
        <v>2769</v>
      </c>
      <c r="F1034" s="3" t="n">
        <f aca="false">D1034*_xlfn.XLOOKUP(C1034,Item_Master!A:A,Item_Master!G:G)</f>
        <v>30260</v>
      </c>
      <c r="G1034" s="0" t="str">
        <f aca="false">TEXT(B1034,"MMM YYYY")</f>
        <v>Jan 2026</v>
      </c>
    </row>
    <row r="1035" customFormat="false" ht="15" hidden="false" customHeight="false" outlineLevel="0" collapsed="false">
      <c r="A1035" s="0" t="s">
        <v>2770</v>
      </c>
      <c r="B1035" s="4" t="n">
        <v>46024</v>
      </c>
      <c r="C1035" s="0" t="s">
        <v>376</v>
      </c>
      <c r="D1035" s="0" t="n">
        <v>33</v>
      </c>
      <c r="E1035" s="0" t="s">
        <v>2771</v>
      </c>
      <c r="F1035" s="3" t="n">
        <f aca="false">D1035*_xlfn.XLOOKUP(C1035,Item_Master!A:A,Item_Master!G:G)</f>
        <v>45870</v>
      </c>
      <c r="G1035" s="0" t="str">
        <f aca="false">TEXT(B1035,"MMM YYYY")</f>
        <v>Jan 2026</v>
      </c>
    </row>
    <row r="1036" customFormat="false" ht="15" hidden="false" customHeight="false" outlineLevel="0" collapsed="false">
      <c r="A1036" s="0" t="s">
        <v>2772</v>
      </c>
      <c r="B1036" s="4" t="n">
        <v>46024</v>
      </c>
      <c r="C1036" s="0" t="s">
        <v>376</v>
      </c>
      <c r="D1036" s="0" t="n">
        <v>7</v>
      </c>
      <c r="E1036" s="0" t="s">
        <v>2773</v>
      </c>
      <c r="F1036" s="3" t="n">
        <f aca="false">D1036*_xlfn.XLOOKUP(C1036,Item_Master!A:A,Item_Master!G:G)</f>
        <v>9730</v>
      </c>
      <c r="G1036" s="0" t="str">
        <f aca="false">TEXT(B1036,"MMM YYYY")</f>
        <v>Jan 2026</v>
      </c>
    </row>
    <row r="1037" customFormat="false" ht="15" hidden="false" customHeight="false" outlineLevel="0" collapsed="false">
      <c r="A1037" s="0" t="s">
        <v>2774</v>
      </c>
      <c r="B1037" s="4" t="n">
        <v>46024</v>
      </c>
      <c r="C1037" s="0" t="s">
        <v>478</v>
      </c>
      <c r="D1037" s="0" t="n">
        <v>3</v>
      </c>
      <c r="E1037" s="0" t="s">
        <v>2775</v>
      </c>
      <c r="F1037" s="3" t="n">
        <f aca="false">D1037*_xlfn.XLOOKUP(C1037,Item_Master!A:A,Item_Master!G:G)</f>
        <v>6090</v>
      </c>
      <c r="G1037" s="0" t="str">
        <f aca="false">TEXT(B1037,"MMM YYYY")</f>
        <v>Jan 2026</v>
      </c>
    </row>
    <row r="1038" customFormat="false" ht="15" hidden="false" customHeight="false" outlineLevel="0" collapsed="false">
      <c r="A1038" s="0" t="s">
        <v>2776</v>
      </c>
      <c r="B1038" s="4" t="n">
        <v>46024</v>
      </c>
      <c r="C1038" s="0" t="s">
        <v>507</v>
      </c>
      <c r="D1038" s="0" t="n">
        <v>32</v>
      </c>
      <c r="E1038" s="0" t="s">
        <v>2777</v>
      </c>
      <c r="F1038" s="3" t="n">
        <f aca="false">D1038*_xlfn.XLOOKUP(C1038,Item_Master!A:A,Item_Master!G:G)</f>
        <v>14080</v>
      </c>
      <c r="G1038" s="0" t="str">
        <f aca="false">TEXT(B1038,"MMM YYYY")</f>
        <v>Jan 2026</v>
      </c>
    </row>
    <row r="1039" customFormat="false" ht="15" hidden="false" customHeight="false" outlineLevel="0" collapsed="false">
      <c r="A1039" s="0" t="s">
        <v>2778</v>
      </c>
      <c r="B1039" s="4" t="n">
        <v>46024</v>
      </c>
      <c r="C1039" s="0" t="s">
        <v>507</v>
      </c>
      <c r="D1039" s="0" t="n">
        <v>12</v>
      </c>
      <c r="E1039" s="0" t="s">
        <v>2779</v>
      </c>
      <c r="F1039" s="3" t="n">
        <f aca="false">D1039*_xlfn.XLOOKUP(C1039,Item_Master!A:A,Item_Master!G:G)</f>
        <v>5280</v>
      </c>
      <c r="G1039" s="0" t="str">
        <f aca="false">TEXT(B1039,"MMM YYYY")</f>
        <v>Jan 2026</v>
      </c>
    </row>
    <row r="1040" customFormat="false" ht="15" hidden="false" customHeight="false" outlineLevel="0" collapsed="false">
      <c r="A1040" s="0" t="s">
        <v>2780</v>
      </c>
      <c r="B1040" s="4" t="n">
        <v>46024</v>
      </c>
      <c r="C1040" s="0" t="s">
        <v>543</v>
      </c>
      <c r="D1040" s="0" t="n">
        <v>15</v>
      </c>
      <c r="E1040" s="0" t="s">
        <v>2781</v>
      </c>
      <c r="F1040" s="3" t="n">
        <f aca="false">D1040*_xlfn.XLOOKUP(C1040,Item_Master!A:A,Item_Master!G:G)</f>
        <v>38250</v>
      </c>
      <c r="G1040" s="0" t="str">
        <f aca="false">TEXT(B1040,"MMM YYYY")</f>
        <v>Jan 2026</v>
      </c>
    </row>
    <row r="1041" customFormat="false" ht="15" hidden="false" customHeight="false" outlineLevel="0" collapsed="false">
      <c r="A1041" s="0" t="s">
        <v>2782</v>
      </c>
      <c r="B1041" s="4" t="n">
        <v>46024</v>
      </c>
      <c r="C1041" s="0" t="s">
        <v>561</v>
      </c>
      <c r="D1041" s="0" t="n">
        <v>10</v>
      </c>
      <c r="E1041" s="0" t="s">
        <v>2783</v>
      </c>
      <c r="F1041" s="3" t="n">
        <f aca="false">D1041*_xlfn.XLOOKUP(C1041,Item_Master!A:A,Item_Master!G:G)</f>
        <v>18000</v>
      </c>
      <c r="G1041" s="0" t="str">
        <f aca="false">TEXT(B1041,"MMM YYYY")</f>
        <v>Jan 2026</v>
      </c>
    </row>
    <row r="1042" customFormat="false" ht="15" hidden="false" customHeight="false" outlineLevel="0" collapsed="false">
      <c r="A1042" s="0" t="s">
        <v>2784</v>
      </c>
      <c r="B1042" s="4" t="n">
        <v>46024</v>
      </c>
      <c r="C1042" s="0" t="s">
        <v>634</v>
      </c>
      <c r="D1042" s="0" t="n">
        <v>18</v>
      </c>
      <c r="E1042" s="0" t="s">
        <v>2785</v>
      </c>
      <c r="F1042" s="3" t="n">
        <f aca="false">D1042*_xlfn.XLOOKUP(C1042,Item_Master!A:A,Item_Master!G:G)</f>
        <v>286380</v>
      </c>
      <c r="G1042" s="0" t="str">
        <f aca="false">TEXT(B1042,"MMM YYYY")</f>
        <v>Jan 2026</v>
      </c>
    </row>
    <row r="1043" customFormat="false" ht="15" hidden="false" customHeight="false" outlineLevel="0" collapsed="false">
      <c r="A1043" s="0" t="s">
        <v>2786</v>
      </c>
      <c r="B1043" s="4" t="n">
        <v>46024</v>
      </c>
      <c r="C1043" s="0" t="s">
        <v>641</v>
      </c>
      <c r="D1043" s="0" t="n">
        <v>25</v>
      </c>
      <c r="E1043" s="0" t="s">
        <v>2787</v>
      </c>
      <c r="F1043" s="3" t="n">
        <f aca="false">D1043*_xlfn.XLOOKUP(C1043,Item_Master!A:A,Item_Master!G:G)</f>
        <v>53000</v>
      </c>
      <c r="G1043" s="0" t="str">
        <f aca="false">TEXT(B1043,"MMM YYYY")</f>
        <v>Jan 2026</v>
      </c>
    </row>
    <row r="1044" customFormat="false" ht="15" hidden="false" customHeight="false" outlineLevel="0" collapsed="false">
      <c r="A1044" s="0" t="s">
        <v>2788</v>
      </c>
      <c r="B1044" s="4" t="n">
        <v>46025</v>
      </c>
      <c r="C1044" s="0" t="s">
        <v>168</v>
      </c>
      <c r="D1044" s="0" t="n">
        <v>8</v>
      </c>
      <c r="E1044" s="0" t="s">
        <v>2789</v>
      </c>
      <c r="F1044" s="3" t="n">
        <f aca="false">D1044*_xlfn.XLOOKUP(C1044,Item_Master!A:A,Item_Master!G:G)</f>
        <v>2000</v>
      </c>
      <c r="G1044" s="0" t="str">
        <f aca="false">TEXT(B1044,"MMM YYYY")</f>
        <v>Jan 2026</v>
      </c>
    </row>
    <row r="1045" customFormat="false" ht="15" hidden="false" customHeight="false" outlineLevel="0" collapsed="false">
      <c r="A1045" s="0" t="s">
        <v>2790</v>
      </c>
      <c r="B1045" s="4" t="n">
        <v>46025</v>
      </c>
      <c r="C1045" s="0" t="s">
        <v>326</v>
      </c>
      <c r="D1045" s="0" t="n">
        <v>15</v>
      </c>
      <c r="E1045" s="0" t="s">
        <v>2791</v>
      </c>
      <c r="F1045" s="3" t="n">
        <f aca="false">D1045*_xlfn.XLOOKUP(C1045,Item_Master!A:A,Item_Master!G:G)</f>
        <v>262650</v>
      </c>
      <c r="G1045" s="0" t="str">
        <f aca="false">TEXT(B1045,"MMM YYYY")</f>
        <v>Jan 2026</v>
      </c>
    </row>
    <row r="1046" customFormat="false" ht="15" hidden="false" customHeight="false" outlineLevel="0" collapsed="false">
      <c r="A1046" s="0" t="s">
        <v>2792</v>
      </c>
      <c r="B1046" s="4" t="n">
        <v>46025</v>
      </c>
      <c r="C1046" s="0" t="s">
        <v>366</v>
      </c>
      <c r="D1046" s="0" t="n">
        <v>17</v>
      </c>
      <c r="E1046" s="0" t="s">
        <v>2793</v>
      </c>
      <c r="F1046" s="3" t="n">
        <f aca="false">D1046*_xlfn.XLOOKUP(C1046,Item_Master!A:A,Item_Master!G:G)</f>
        <v>46410</v>
      </c>
      <c r="G1046" s="0" t="str">
        <f aca="false">TEXT(B1046,"MMM YYYY")</f>
        <v>Jan 2026</v>
      </c>
    </row>
    <row r="1047" customFormat="false" ht="15" hidden="false" customHeight="false" outlineLevel="0" collapsed="false">
      <c r="A1047" s="0" t="s">
        <v>2794</v>
      </c>
      <c r="B1047" s="4" t="n">
        <v>46025</v>
      </c>
      <c r="C1047" s="0" t="s">
        <v>456</v>
      </c>
      <c r="D1047" s="0" t="n">
        <v>3</v>
      </c>
      <c r="E1047" s="0" t="s">
        <v>2795</v>
      </c>
      <c r="F1047" s="3" t="n">
        <f aca="false">D1047*_xlfn.XLOOKUP(C1047,Item_Master!A:A,Item_Master!G:G)</f>
        <v>1950</v>
      </c>
      <c r="G1047" s="0" t="str">
        <f aca="false">TEXT(B1047,"MMM YYYY")</f>
        <v>Jan 2026</v>
      </c>
    </row>
    <row r="1048" customFormat="false" ht="15" hidden="false" customHeight="false" outlineLevel="0" collapsed="false">
      <c r="A1048" s="0" t="s">
        <v>2796</v>
      </c>
      <c r="B1048" s="4" t="n">
        <v>46025</v>
      </c>
      <c r="C1048" s="0" t="s">
        <v>567</v>
      </c>
      <c r="D1048" s="0" t="n">
        <v>12</v>
      </c>
      <c r="E1048" s="0" t="s">
        <v>2797</v>
      </c>
      <c r="F1048" s="3" t="n">
        <f aca="false">D1048*_xlfn.XLOOKUP(C1048,Item_Master!A:A,Item_Master!G:G)</f>
        <v>10680</v>
      </c>
      <c r="G1048" s="0" t="str">
        <f aca="false">TEXT(B1048,"MMM YYYY")</f>
        <v>Jan 2026</v>
      </c>
    </row>
    <row r="1049" customFormat="false" ht="15" hidden="false" customHeight="false" outlineLevel="0" collapsed="false">
      <c r="A1049" s="0" t="s">
        <v>2798</v>
      </c>
      <c r="B1049" s="4" t="n">
        <v>46025</v>
      </c>
      <c r="C1049" s="0" t="s">
        <v>706</v>
      </c>
      <c r="D1049" s="0" t="n">
        <v>18</v>
      </c>
      <c r="E1049" s="0" t="s">
        <v>2799</v>
      </c>
      <c r="F1049" s="3" t="n">
        <f aca="false">D1049*_xlfn.XLOOKUP(C1049,Item_Master!A:A,Item_Master!G:G)</f>
        <v>22140</v>
      </c>
      <c r="G1049" s="0" t="str">
        <f aca="false">TEXT(B1049,"MMM YYYY")</f>
        <v>Jan 2026</v>
      </c>
    </row>
    <row r="1050" customFormat="false" ht="15" hidden="false" customHeight="false" outlineLevel="0" collapsed="false">
      <c r="A1050" s="0" t="s">
        <v>2800</v>
      </c>
      <c r="B1050" s="4" t="n">
        <v>46026</v>
      </c>
      <c r="C1050" s="0" t="s">
        <v>32</v>
      </c>
      <c r="D1050" s="0" t="n">
        <v>26</v>
      </c>
      <c r="E1050" s="0" t="s">
        <v>2801</v>
      </c>
      <c r="F1050" s="3" t="n">
        <f aca="false">D1050*_xlfn.XLOOKUP(C1050,Item_Master!A:A,Item_Master!G:G)</f>
        <v>105560</v>
      </c>
      <c r="G1050" s="0" t="str">
        <f aca="false">TEXT(B1050,"MMM YYYY")</f>
        <v>Jan 2026</v>
      </c>
    </row>
    <row r="1051" customFormat="false" ht="15" hidden="false" customHeight="false" outlineLevel="0" collapsed="false">
      <c r="A1051" s="0" t="s">
        <v>2802</v>
      </c>
      <c r="B1051" s="4" t="n">
        <v>46026</v>
      </c>
      <c r="C1051" s="0" t="s">
        <v>41</v>
      </c>
      <c r="D1051" s="0" t="n">
        <v>1</v>
      </c>
      <c r="E1051" s="0" t="s">
        <v>2803</v>
      </c>
      <c r="F1051" s="3" t="n">
        <f aca="false">D1051*_xlfn.XLOOKUP(C1051,Item_Master!A:A,Item_Master!G:G)</f>
        <v>1020</v>
      </c>
      <c r="G1051" s="0" t="str">
        <f aca="false">TEXT(B1051,"MMM YYYY")</f>
        <v>Jan 2026</v>
      </c>
    </row>
    <row r="1052" customFormat="false" ht="15" hidden="false" customHeight="false" outlineLevel="0" collapsed="false">
      <c r="A1052" s="0" t="s">
        <v>2804</v>
      </c>
      <c r="B1052" s="4" t="n">
        <v>46026</v>
      </c>
      <c r="C1052" s="0" t="s">
        <v>83</v>
      </c>
      <c r="D1052" s="0" t="n">
        <v>17</v>
      </c>
      <c r="E1052" s="0" t="s">
        <v>2805</v>
      </c>
      <c r="F1052" s="3" t="n">
        <f aca="false">D1052*_xlfn.XLOOKUP(C1052,Item_Master!A:A,Item_Master!G:G)</f>
        <v>95030</v>
      </c>
      <c r="G1052" s="0" t="str">
        <f aca="false">TEXT(B1052,"MMM YYYY")</f>
        <v>Jan 2026</v>
      </c>
    </row>
    <row r="1053" customFormat="false" ht="15" hidden="false" customHeight="false" outlineLevel="0" collapsed="false">
      <c r="A1053" s="0" t="s">
        <v>2806</v>
      </c>
      <c r="B1053" s="4" t="n">
        <v>46026</v>
      </c>
      <c r="C1053" s="0" t="s">
        <v>83</v>
      </c>
      <c r="D1053" s="0" t="n">
        <v>33</v>
      </c>
      <c r="E1053" s="0" t="s">
        <v>845</v>
      </c>
      <c r="F1053" s="3" t="n">
        <f aca="false">D1053*_xlfn.XLOOKUP(C1053,Item_Master!A:A,Item_Master!G:G)</f>
        <v>184470</v>
      </c>
      <c r="G1053" s="0" t="str">
        <f aca="false">TEXT(B1053,"MMM YYYY")</f>
        <v>Jan 2026</v>
      </c>
    </row>
    <row r="1054" customFormat="false" ht="15" hidden="false" customHeight="false" outlineLevel="0" collapsed="false">
      <c r="A1054" s="0" t="s">
        <v>2807</v>
      </c>
      <c r="B1054" s="4" t="n">
        <v>46026</v>
      </c>
      <c r="C1054" s="0" t="s">
        <v>100</v>
      </c>
      <c r="D1054" s="0" t="n">
        <v>33</v>
      </c>
      <c r="E1054" s="0" t="s">
        <v>2808</v>
      </c>
      <c r="F1054" s="3" t="n">
        <f aca="false">D1054*_xlfn.XLOOKUP(C1054,Item_Master!A:A,Item_Master!G:G)</f>
        <v>333630</v>
      </c>
      <c r="G1054" s="0" t="str">
        <f aca="false">TEXT(B1054,"MMM YYYY")</f>
        <v>Jan 2026</v>
      </c>
    </row>
    <row r="1055" customFormat="false" ht="15" hidden="false" customHeight="false" outlineLevel="0" collapsed="false">
      <c r="A1055" s="0" t="s">
        <v>2809</v>
      </c>
      <c r="B1055" s="4" t="n">
        <v>46026</v>
      </c>
      <c r="C1055" s="0" t="s">
        <v>139</v>
      </c>
      <c r="D1055" s="0" t="n">
        <v>9</v>
      </c>
      <c r="E1055" s="0" t="s">
        <v>2810</v>
      </c>
      <c r="F1055" s="3" t="n">
        <f aca="false">D1055*_xlfn.XLOOKUP(C1055,Item_Master!A:A,Item_Master!G:G)</f>
        <v>182880</v>
      </c>
      <c r="G1055" s="0" t="str">
        <f aca="false">TEXT(B1055,"MMM YYYY")</f>
        <v>Jan 2026</v>
      </c>
    </row>
    <row r="1056" customFormat="false" ht="15" hidden="false" customHeight="false" outlineLevel="0" collapsed="false">
      <c r="A1056" s="0" t="s">
        <v>2811</v>
      </c>
      <c r="B1056" s="4" t="n">
        <v>46026</v>
      </c>
      <c r="C1056" s="0" t="s">
        <v>285</v>
      </c>
      <c r="D1056" s="0" t="n">
        <v>4</v>
      </c>
      <c r="E1056" s="0" t="s">
        <v>2812</v>
      </c>
      <c r="F1056" s="3" t="n">
        <f aca="false">D1056*_xlfn.XLOOKUP(C1056,Item_Master!A:A,Item_Master!G:G)</f>
        <v>3920</v>
      </c>
      <c r="G1056" s="0" t="str">
        <f aca="false">TEXT(B1056,"MMM YYYY")</f>
        <v>Jan 2026</v>
      </c>
    </row>
    <row r="1057" customFormat="false" ht="15" hidden="false" customHeight="false" outlineLevel="0" collapsed="false">
      <c r="A1057" s="0" t="s">
        <v>2813</v>
      </c>
      <c r="B1057" s="4" t="n">
        <v>46026</v>
      </c>
      <c r="C1057" s="0" t="s">
        <v>364</v>
      </c>
      <c r="D1057" s="0" t="n">
        <v>40</v>
      </c>
      <c r="E1057" s="0" t="s">
        <v>2814</v>
      </c>
      <c r="F1057" s="3" t="n">
        <f aca="false">D1057*_xlfn.XLOOKUP(C1057,Item_Master!A:A,Item_Master!G:G)</f>
        <v>142800</v>
      </c>
      <c r="G1057" s="0" t="str">
        <f aca="false">TEXT(B1057,"MMM YYYY")</f>
        <v>Jan 2026</v>
      </c>
    </row>
    <row r="1058" customFormat="false" ht="15" hidden="false" customHeight="false" outlineLevel="0" collapsed="false">
      <c r="A1058" s="0" t="s">
        <v>2815</v>
      </c>
      <c r="B1058" s="4" t="n">
        <v>46026</v>
      </c>
      <c r="C1058" s="0" t="s">
        <v>382</v>
      </c>
      <c r="D1058" s="0" t="n">
        <v>30</v>
      </c>
      <c r="E1058" s="0" t="s">
        <v>2816</v>
      </c>
      <c r="F1058" s="3" t="n">
        <f aca="false">D1058*_xlfn.XLOOKUP(C1058,Item_Master!A:A,Item_Master!G:G)</f>
        <v>61800</v>
      </c>
      <c r="G1058" s="0" t="str">
        <f aca="false">TEXT(B1058,"MMM YYYY")</f>
        <v>Jan 2026</v>
      </c>
    </row>
    <row r="1059" customFormat="false" ht="15" hidden="false" customHeight="false" outlineLevel="0" collapsed="false">
      <c r="A1059" s="0" t="s">
        <v>2817</v>
      </c>
      <c r="B1059" s="4" t="n">
        <v>46026</v>
      </c>
      <c r="C1059" s="0" t="s">
        <v>413</v>
      </c>
      <c r="D1059" s="0" t="n">
        <v>34</v>
      </c>
      <c r="E1059" s="0" t="s">
        <v>2818</v>
      </c>
      <c r="F1059" s="3" t="n">
        <f aca="false">D1059*_xlfn.XLOOKUP(C1059,Item_Master!A:A,Item_Master!G:G)</f>
        <v>40460</v>
      </c>
      <c r="G1059" s="0" t="str">
        <f aca="false">TEXT(B1059,"MMM YYYY")</f>
        <v>Jan 2026</v>
      </c>
    </row>
    <row r="1060" customFormat="false" ht="15" hidden="false" customHeight="false" outlineLevel="0" collapsed="false">
      <c r="A1060" s="0" t="s">
        <v>2819</v>
      </c>
      <c r="B1060" s="4" t="n">
        <v>46026</v>
      </c>
      <c r="C1060" s="0" t="s">
        <v>432</v>
      </c>
      <c r="D1060" s="0" t="n">
        <v>3</v>
      </c>
      <c r="E1060" s="0" t="s">
        <v>2820</v>
      </c>
      <c r="F1060" s="3" t="n">
        <f aca="false">D1060*_xlfn.XLOOKUP(C1060,Item_Master!A:A,Item_Master!G:G)</f>
        <v>11310</v>
      </c>
      <c r="G1060" s="0" t="str">
        <f aca="false">TEXT(B1060,"MMM YYYY")</f>
        <v>Jan 2026</v>
      </c>
    </row>
    <row r="1061" customFormat="false" ht="15" hidden="false" customHeight="false" outlineLevel="0" collapsed="false">
      <c r="A1061" s="0" t="s">
        <v>2821</v>
      </c>
      <c r="B1061" s="4" t="n">
        <v>46026</v>
      </c>
      <c r="C1061" s="0" t="s">
        <v>461</v>
      </c>
      <c r="D1061" s="0" t="n">
        <v>21</v>
      </c>
      <c r="E1061" s="0" t="s">
        <v>2822</v>
      </c>
      <c r="F1061" s="3" t="n">
        <f aca="false">D1061*_xlfn.XLOOKUP(C1061,Item_Master!A:A,Item_Master!G:G)</f>
        <v>32130</v>
      </c>
      <c r="G1061" s="0" t="str">
        <f aca="false">TEXT(B1061,"MMM YYYY")</f>
        <v>Jan 2026</v>
      </c>
    </row>
    <row r="1062" customFormat="false" ht="15" hidden="false" customHeight="false" outlineLevel="0" collapsed="false">
      <c r="A1062" s="0" t="s">
        <v>2823</v>
      </c>
      <c r="B1062" s="4" t="n">
        <v>46026</v>
      </c>
      <c r="C1062" s="0" t="s">
        <v>487</v>
      </c>
      <c r="D1062" s="0" t="n">
        <v>28</v>
      </c>
      <c r="E1062" s="0" t="s">
        <v>2824</v>
      </c>
      <c r="F1062" s="3" t="n">
        <f aca="false">D1062*_xlfn.XLOOKUP(C1062,Item_Master!A:A,Item_Master!G:G)</f>
        <v>13440</v>
      </c>
      <c r="G1062" s="0" t="str">
        <f aca="false">TEXT(B1062,"MMM YYYY")</f>
        <v>Jan 2026</v>
      </c>
    </row>
    <row r="1063" customFormat="false" ht="15" hidden="false" customHeight="false" outlineLevel="0" collapsed="false">
      <c r="A1063" s="0" t="s">
        <v>2825</v>
      </c>
      <c r="B1063" s="4" t="n">
        <v>46026</v>
      </c>
      <c r="C1063" s="0" t="s">
        <v>545</v>
      </c>
      <c r="D1063" s="0" t="n">
        <v>35</v>
      </c>
      <c r="E1063" s="0" t="s">
        <v>2826</v>
      </c>
      <c r="F1063" s="3" t="n">
        <f aca="false">D1063*_xlfn.XLOOKUP(C1063,Item_Master!A:A,Item_Master!G:G)</f>
        <v>47950</v>
      </c>
      <c r="G1063" s="0" t="str">
        <f aca="false">TEXT(B1063,"MMM YYYY")</f>
        <v>Jan 2026</v>
      </c>
    </row>
    <row r="1064" customFormat="false" ht="15" hidden="false" customHeight="false" outlineLevel="0" collapsed="false">
      <c r="A1064" s="0" t="s">
        <v>2827</v>
      </c>
      <c r="B1064" s="4" t="n">
        <v>46026</v>
      </c>
      <c r="C1064" s="0" t="s">
        <v>606</v>
      </c>
      <c r="D1064" s="0" t="n">
        <v>23</v>
      </c>
      <c r="E1064" s="0" t="s">
        <v>2828</v>
      </c>
      <c r="F1064" s="3" t="n">
        <f aca="false">D1064*_xlfn.XLOOKUP(C1064,Item_Master!A:A,Item_Master!G:G)</f>
        <v>41860</v>
      </c>
      <c r="G1064" s="0" t="str">
        <f aca="false">TEXT(B1064,"MMM YYYY")</f>
        <v>Jan 2026</v>
      </c>
    </row>
    <row r="1065" customFormat="false" ht="15" hidden="false" customHeight="false" outlineLevel="0" collapsed="false">
      <c r="A1065" s="0" t="s">
        <v>2829</v>
      </c>
      <c r="B1065" s="4" t="n">
        <v>46026</v>
      </c>
      <c r="C1065" s="0" t="s">
        <v>614</v>
      </c>
      <c r="D1065" s="0" t="n">
        <v>15</v>
      </c>
      <c r="E1065" s="0" t="s">
        <v>2830</v>
      </c>
      <c r="F1065" s="3" t="n">
        <f aca="false">D1065*_xlfn.XLOOKUP(C1065,Item_Master!A:A,Item_Master!G:G)</f>
        <v>29700</v>
      </c>
      <c r="G1065" s="0" t="str">
        <f aca="false">TEXT(B1065,"MMM YYYY")</f>
        <v>Jan 2026</v>
      </c>
    </row>
    <row r="1066" customFormat="false" ht="15" hidden="false" customHeight="false" outlineLevel="0" collapsed="false">
      <c r="A1066" s="0" t="s">
        <v>2831</v>
      </c>
      <c r="B1066" s="4" t="n">
        <v>46026</v>
      </c>
      <c r="C1066" s="0" t="s">
        <v>627</v>
      </c>
      <c r="D1066" s="0" t="n">
        <v>13</v>
      </c>
      <c r="E1066" s="0" t="s">
        <v>2832</v>
      </c>
      <c r="F1066" s="3" t="n">
        <f aca="false">D1066*_xlfn.XLOOKUP(C1066,Item_Master!A:A,Item_Master!G:G)</f>
        <v>92950</v>
      </c>
      <c r="G1066" s="0" t="str">
        <f aca="false">TEXT(B1066,"MMM YYYY")</f>
        <v>Jan 2026</v>
      </c>
    </row>
    <row r="1067" customFormat="false" ht="15" hidden="false" customHeight="false" outlineLevel="0" collapsed="false">
      <c r="A1067" s="0" t="s">
        <v>2833</v>
      </c>
      <c r="B1067" s="4" t="n">
        <v>46026</v>
      </c>
      <c r="C1067" s="0" t="s">
        <v>676</v>
      </c>
      <c r="D1067" s="0" t="n">
        <v>36</v>
      </c>
      <c r="E1067" s="0" t="s">
        <v>2834</v>
      </c>
      <c r="F1067" s="3" t="n">
        <f aca="false">D1067*_xlfn.XLOOKUP(C1067,Item_Master!A:A,Item_Master!G:G)</f>
        <v>79200</v>
      </c>
      <c r="G1067" s="0" t="str">
        <f aca="false">TEXT(B1067,"MMM YYYY")</f>
        <v>Jan 2026</v>
      </c>
    </row>
    <row r="1068" customFormat="false" ht="15" hidden="false" customHeight="false" outlineLevel="0" collapsed="false">
      <c r="A1068" s="0" t="s">
        <v>2835</v>
      </c>
      <c r="B1068" s="4" t="n">
        <v>46027</v>
      </c>
      <c r="C1068" s="0" t="s">
        <v>136</v>
      </c>
      <c r="D1068" s="0" t="n">
        <v>28</v>
      </c>
      <c r="E1068" s="0" t="s">
        <v>2836</v>
      </c>
      <c r="F1068" s="3" t="n">
        <f aca="false">D1068*_xlfn.XLOOKUP(C1068,Item_Master!A:A,Item_Master!G:G)</f>
        <v>41720</v>
      </c>
      <c r="G1068" s="0" t="str">
        <f aca="false">TEXT(B1068,"MMM YYYY")</f>
        <v>Jan 2026</v>
      </c>
    </row>
    <row r="1069" customFormat="false" ht="15" hidden="false" customHeight="false" outlineLevel="0" collapsed="false">
      <c r="A1069" s="0" t="s">
        <v>2837</v>
      </c>
      <c r="B1069" s="4" t="n">
        <v>46027</v>
      </c>
      <c r="C1069" s="0" t="s">
        <v>139</v>
      </c>
      <c r="D1069" s="0" t="n">
        <v>3</v>
      </c>
      <c r="E1069" s="0" t="s">
        <v>2838</v>
      </c>
      <c r="F1069" s="3" t="n">
        <f aca="false">D1069*_xlfn.XLOOKUP(C1069,Item_Master!A:A,Item_Master!G:G)</f>
        <v>60960</v>
      </c>
      <c r="G1069" s="0" t="str">
        <f aca="false">TEXT(B1069,"MMM YYYY")</f>
        <v>Jan 2026</v>
      </c>
    </row>
    <row r="1070" customFormat="false" ht="15" hidden="false" customHeight="false" outlineLevel="0" collapsed="false">
      <c r="A1070" s="0" t="s">
        <v>2839</v>
      </c>
      <c r="B1070" s="4" t="n">
        <v>46027</v>
      </c>
      <c r="C1070" s="0" t="s">
        <v>172</v>
      </c>
      <c r="D1070" s="0" t="n">
        <v>34</v>
      </c>
      <c r="E1070" s="0" t="s">
        <v>2840</v>
      </c>
      <c r="F1070" s="3" t="n">
        <f aca="false">D1070*_xlfn.XLOOKUP(C1070,Item_Master!A:A,Item_Master!G:G)</f>
        <v>112200</v>
      </c>
      <c r="G1070" s="0" t="str">
        <f aca="false">TEXT(B1070,"MMM YYYY")</f>
        <v>Jan 2026</v>
      </c>
    </row>
    <row r="1071" customFormat="false" ht="15" hidden="false" customHeight="false" outlineLevel="0" collapsed="false">
      <c r="A1071" s="0" t="s">
        <v>2841</v>
      </c>
      <c r="B1071" s="4" t="n">
        <v>46027</v>
      </c>
      <c r="C1071" s="0" t="s">
        <v>215</v>
      </c>
      <c r="D1071" s="0" t="n">
        <v>30</v>
      </c>
      <c r="E1071" s="0" t="s">
        <v>2842</v>
      </c>
      <c r="F1071" s="3" t="n">
        <f aca="false">D1071*_xlfn.XLOOKUP(C1071,Item_Master!A:A,Item_Master!G:G)</f>
        <v>16800</v>
      </c>
      <c r="G1071" s="0" t="str">
        <f aca="false">TEXT(B1071,"MMM YYYY")</f>
        <v>Jan 2026</v>
      </c>
    </row>
    <row r="1072" customFormat="false" ht="15" hidden="false" customHeight="false" outlineLevel="0" collapsed="false">
      <c r="A1072" s="0" t="s">
        <v>2843</v>
      </c>
      <c r="B1072" s="4" t="n">
        <v>46027</v>
      </c>
      <c r="C1072" s="0" t="s">
        <v>225</v>
      </c>
      <c r="D1072" s="0" t="n">
        <v>24</v>
      </c>
      <c r="E1072" s="0" t="s">
        <v>2844</v>
      </c>
      <c r="F1072" s="3" t="n">
        <f aca="false">D1072*_xlfn.XLOOKUP(C1072,Item_Master!A:A,Item_Master!G:G)</f>
        <v>9600</v>
      </c>
      <c r="G1072" s="0" t="str">
        <f aca="false">TEXT(B1072,"MMM YYYY")</f>
        <v>Jan 2026</v>
      </c>
    </row>
    <row r="1073" customFormat="false" ht="15" hidden="false" customHeight="false" outlineLevel="0" collapsed="false">
      <c r="A1073" s="0" t="s">
        <v>2845</v>
      </c>
      <c r="B1073" s="4" t="n">
        <v>46027</v>
      </c>
      <c r="C1073" s="0" t="s">
        <v>370</v>
      </c>
      <c r="D1073" s="0" t="n">
        <v>12</v>
      </c>
      <c r="E1073" s="0" t="s">
        <v>2846</v>
      </c>
      <c r="F1073" s="3" t="n">
        <f aca="false">D1073*_xlfn.XLOOKUP(C1073,Item_Master!A:A,Item_Master!G:G)</f>
        <v>14040</v>
      </c>
      <c r="G1073" s="0" t="str">
        <f aca="false">TEXT(B1073,"MMM YYYY")</f>
        <v>Jan 2026</v>
      </c>
    </row>
    <row r="1074" customFormat="false" ht="15" hidden="false" customHeight="false" outlineLevel="0" collapsed="false">
      <c r="A1074" s="0" t="s">
        <v>2847</v>
      </c>
      <c r="B1074" s="4" t="n">
        <v>46027</v>
      </c>
      <c r="C1074" s="0" t="s">
        <v>384</v>
      </c>
      <c r="D1074" s="0" t="n">
        <v>2</v>
      </c>
      <c r="E1074" s="0" t="s">
        <v>2848</v>
      </c>
      <c r="F1074" s="3" t="n">
        <f aca="false">D1074*_xlfn.XLOOKUP(C1074,Item_Master!A:A,Item_Master!G:G)</f>
        <v>3300</v>
      </c>
      <c r="G1074" s="0" t="str">
        <f aca="false">TEXT(B1074,"MMM YYYY")</f>
        <v>Jan 2026</v>
      </c>
    </row>
    <row r="1075" customFormat="false" ht="15" hidden="false" customHeight="false" outlineLevel="0" collapsed="false">
      <c r="A1075" s="0" t="s">
        <v>2849</v>
      </c>
      <c r="B1075" s="4" t="n">
        <v>46027</v>
      </c>
      <c r="C1075" s="0" t="s">
        <v>474</v>
      </c>
      <c r="D1075" s="0" t="n">
        <v>17</v>
      </c>
      <c r="E1075" s="0" t="s">
        <v>2487</v>
      </c>
      <c r="F1075" s="3" t="n">
        <f aca="false">D1075*_xlfn.XLOOKUP(C1075,Item_Master!A:A,Item_Master!G:G)</f>
        <v>155040</v>
      </c>
      <c r="G1075" s="0" t="str">
        <f aca="false">TEXT(B1075,"MMM YYYY")</f>
        <v>Jan 2026</v>
      </c>
    </row>
    <row r="1076" customFormat="false" ht="15" hidden="false" customHeight="false" outlineLevel="0" collapsed="false">
      <c r="A1076" s="0" t="s">
        <v>2850</v>
      </c>
      <c r="B1076" s="4" t="n">
        <v>46027</v>
      </c>
      <c r="C1076" s="0" t="s">
        <v>516</v>
      </c>
      <c r="D1076" s="0" t="n">
        <v>26</v>
      </c>
      <c r="E1076" s="0" t="s">
        <v>2851</v>
      </c>
      <c r="F1076" s="3" t="n">
        <f aca="false">D1076*_xlfn.XLOOKUP(C1076,Item_Master!A:A,Item_Master!G:G)</f>
        <v>159120</v>
      </c>
      <c r="G1076" s="0" t="str">
        <f aca="false">TEXT(B1076,"MMM YYYY")</f>
        <v>Jan 2026</v>
      </c>
    </row>
    <row r="1077" customFormat="false" ht="15" hidden="false" customHeight="false" outlineLevel="0" collapsed="false">
      <c r="A1077" s="0" t="s">
        <v>2852</v>
      </c>
      <c r="B1077" s="4" t="n">
        <v>46027</v>
      </c>
      <c r="C1077" s="0" t="s">
        <v>535</v>
      </c>
      <c r="D1077" s="0" t="n">
        <v>7</v>
      </c>
      <c r="E1077" s="0" t="s">
        <v>2853</v>
      </c>
      <c r="F1077" s="3" t="n">
        <f aca="false">D1077*_xlfn.XLOOKUP(C1077,Item_Master!A:A,Item_Master!G:G)</f>
        <v>16940</v>
      </c>
      <c r="G1077" s="0" t="str">
        <f aca="false">TEXT(B1077,"MMM YYYY")</f>
        <v>Jan 2026</v>
      </c>
    </row>
    <row r="1078" customFormat="false" ht="15" hidden="false" customHeight="false" outlineLevel="0" collapsed="false">
      <c r="A1078" s="0" t="s">
        <v>2854</v>
      </c>
      <c r="B1078" s="4" t="n">
        <v>46027</v>
      </c>
      <c r="C1078" s="0" t="s">
        <v>566</v>
      </c>
      <c r="D1078" s="0" t="n">
        <v>19</v>
      </c>
      <c r="E1078" s="0" t="s">
        <v>2855</v>
      </c>
      <c r="F1078" s="3" t="n">
        <f aca="false">D1078*_xlfn.XLOOKUP(C1078,Item_Master!A:A,Item_Master!G:G)</f>
        <v>32300</v>
      </c>
      <c r="G1078" s="0" t="str">
        <f aca="false">TEXT(B1078,"MMM YYYY")</f>
        <v>Jan 2026</v>
      </c>
    </row>
    <row r="1079" customFormat="false" ht="15" hidden="false" customHeight="false" outlineLevel="0" collapsed="false">
      <c r="A1079" s="0" t="s">
        <v>2856</v>
      </c>
      <c r="B1079" s="4" t="n">
        <v>46027</v>
      </c>
      <c r="C1079" s="0" t="s">
        <v>636</v>
      </c>
      <c r="D1079" s="0" t="n">
        <v>9</v>
      </c>
      <c r="E1079" s="0" t="s">
        <v>2857</v>
      </c>
      <c r="F1079" s="3" t="n">
        <f aca="false">D1079*_xlfn.XLOOKUP(C1079,Item_Master!A:A,Item_Master!G:G)</f>
        <v>11700</v>
      </c>
      <c r="G1079" s="0" t="str">
        <f aca="false">TEXT(B1079,"MMM YYYY")</f>
        <v>Jan 2026</v>
      </c>
    </row>
    <row r="1080" customFormat="false" ht="15" hidden="false" customHeight="false" outlineLevel="0" collapsed="false">
      <c r="A1080" s="0" t="s">
        <v>2858</v>
      </c>
      <c r="B1080" s="4" t="n">
        <v>46027</v>
      </c>
      <c r="C1080" s="0" t="s">
        <v>636</v>
      </c>
      <c r="D1080" s="0" t="n">
        <v>28</v>
      </c>
      <c r="E1080" s="0" t="s">
        <v>2859</v>
      </c>
      <c r="F1080" s="3" t="n">
        <f aca="false">D1080*_xlfn.XLOOKUP(C1080,Item_Master!A:A,Item_Master!G:G)</f>
        <v>36400</v>
      </c>
      <c r="G1080" s="0" t="str">
        <f aca="false">TEXT(B1080,"MMM YYYY")</f>
        <v>Jan 2026</v>
      </c>
    </row>
    <row r="1081" customFormat="false" ht="15" hidden="false" customHeight="false" outlineLevel="0" collapsed="false">
      <c r="A1081" s="0" t="s">
        <v>2860</v>
      </c>
      <c r="B1081" s="4" t="n">
        <v>46027</v>
      </c>
      <c r="C1081" s="0" t="s">
        <v>683</v>
      </c>
      <c r="D1081" s="0" t="n">
        <v>24</v>
      </c>
      <c r="E1081" s="0" t="s">
        <v>2861</v>
      </c>
      <c r="F1081" s="3" t="n">
        <f aca="false">D1081*_xlfn.XLOOKUP(C1081,Item_Master!A:A,Item_Master!G:G)</f>
        <v>19200</v>
      </c>
      <c r="G1081" s="0" t="str">
        <f aca="false">TEXT(B1081,"MMM YYYY")</f>
        <v>Jan 2026</v>
      </c>
    </row>
    <row r="1082" customFormat="false" ht="15" hidden="false" customHeight="false" outlineLevel="0" collapsed="false">
      <c r="A1082" s="0" t="s">
        <v>2862</v>
      </c>
      <c r="B1082" s="4" t="n">
        <v>46027</v>
      </c>
      <c r="C1082" s="0" t="s">
        <v>704</v>
      </c>
      <c r="D1082" s="0" t="n">
        <v>18</v>
      </c>
      <c r="E1082" s="0" t="s">
        <v>2863</v>
      </c>
      <c r="F1082" s="3" t="n">
        <f aca="false">D1082*_xlfn.XLOOKUP(C1082,Item_Master!A:A,Item_Master!G:G)</f>
        <v>8280</v>
      </c>
      <c r="G1082" s="0" t="str">
        <f aca="false">TEXT(B1082,"MMM YYYY")</f>
        <v>Jan 2026</v>
      </c>
    </row>
    <row r="1083" customFormat="false" ht="15" hidden="false" customHeight="false" outlineLevel="0" collapsed="false">
      <c r="A1083" s="0" t="s">
        <v>2864</v>
      </c>
      <c r="B1083" s="4" t="n">
        <v>46028</v>
      </c>
      <c r="C1083" s="0" t="s">
        <v>136</v>
      </c>
      <c r="D1083" s="0" t="n">
        <v>12</v>
      </c>
      <c r="E1083" s="0" t="s">
        <v>2865</v>
      </c>
      <c r="F1083" s="3" t="n">
        <f aca="false">D1083*_xlfn.XLOOKUP(C1083,Item_Master!A:A,Item_Master!G:G)</f>
        <v>17880</v>
      </c>
      <c r="G1083" s="0" t="str">
        <f aca="false">TEXT(B1083,"MMM YYYY")</f>
        <v>Jan 2026</v>
      </c>
    </row>
    <row r="1084" customFormat="false" ht="15" hidden="false" customHeight="false" outlineLevel="0" collapsed="false">
      <c r="A1084" s="0" t="s">
        <v>2866</v>
      </c>
      <c r="B1084" s="4" t="n">
        <v>46028</v>
      </c>
      <c r="C1084" s="0" t="s">
        <v>142</v>
      </c>
      <c r="D1084" s="0" t="n">
        <v>10</v>
      </c>
      <c r="E1084" s="0" t="s">
        <v>2867</v>
      </c>
      <c r="F1084" s="3" t="n">
        <f aca="false">D1084*_xlfn.XLOOKUP(C1084,Item_Master!A:A,Item_Master!G:G)</f>
        <v>13800</v>
      </c>
      <c r="G1084" s="0" t="str">
        <f aca="false">TEXT(B1084,"MMM YYYY")</f>
        <v>Jan 2026</v>
      </c>
    </row>
    <row r="1085" customFormat="false" ht="15" hidden="false" customHeight="false" outlineLevel="0" collapsed="false">
      <c r="A1085" s="0" t="s">
        <v>2868</v>
      </c>
      <c r="B1085" s="4" t="n">
        <v>46028</v>
      </c>
      <c r="C1085" s="0" t="s">
        <v>223</v>
      </c>
      <c r="D1085" s="0" t="n">
        <v>13</v>
      </c>
      <c r="E1085" s="0" t="s">
        <v>2869</v>
      </c>
      <c r="F1085" s="3" t="n">
        <f aca="false">D1085*_xlfn.XLOOKUP(C1085,Item_Master!A:A,Item_Master!G:G)</f>
        <v>3380</v>
      </c>
      <c r="G1085" s="0" t="str">
        <f aca="false">TEXT(B1085,"MMM YYYY")</f>
        <v>Jan 2026</v>
      </c>
    </row>
    <row r="1086" customFormat="false" ht="15" hidden="false" customHeight="false" outlineLevel="0" collapsed="false">
      <c r="A1086" s="0" t="s">
        <v>2870</v>
      </c>
      <c r="B1086" s="4" t="n">
        <v>46028</v>
      </c>
      <c r="C1086" s="0" t="s">
        <v>237</v>
      </c>
      <c r="D1086" s="0" t="n">
        <v>10</v>
      </c>
      <c r="E1086" s="0" t="s">
        <v>2871</v>
      </c>
      <c r="F1086" s="3" t="n">
        <f aca="false">D1086*_xlfn.XLOOKUP(C1086,Item_Master!A:A,Item_Master!G:G)</f>
        <v>7200</v>
      </c>
      <c r="G1086" s="0" t="str">
        <f aca="false">TEXT(B1086,"MMM YYYY")</f>
        <v>Jan 2026</v>
      </c>
    </row>
    <row r="1087" customFormat="false" ht="15" hidden="false" customHeight="false" outlineLevel="0" collapsed="false">
      <c r="A1087" s="0" t="s">
        <v>2872</v>
      </c>
      <c r="B1087" s="4" t="n">
        <v>46028</v>
      </c>
      <c r="C1087" s="0" t="s">
        <v>320</v>
      </c>
      <c r="D1087" s="0" t="n">
        <v>1</v>
      </c>
      <c r="E1087" s="0" t="s">
        <v>2873</v>
      </c>
      <c r="F1087" s="3" t="n">
        <f aca="false">D1087*_xlfn.XLOOKUP(C1087,Item_Master!A:A,Item_Master!G:G)</f>
        <v>580</v>
      </c>
      <c r="G1087" s="0" t="str">
        <f aca="false">TEXT(B1087,"MMM YYYY")</f>
        <v>Jan 2026</v>
      </c>
    </row>
    <row r="1088" customFormat="false" ht="15" hidden="false" customHeight="false" outlineLevel="0" collapsed="false">
      <c r="A1088" s="0" t="s">
        <v>2874</v>
      </c>
      <c r="B1088" s="4" t="n">
        <v>46028</v>
      </c>
      <c r="C1088" s="0" t="s">
        <v>339</v>
      </c>
      <c r="D1088" s="0" t="n">
        <v>3</v>
      </c>
      <c r="E1088" s="0" t="s">
        <v>2875</v>
      </c>
      <c r="F1088" s="3" t="n">
        <f aca="false">D1088*_xlfn.XLOOKUP(C1088,Item_Master!A:A,Item_Master!G:G)</f>
        <v>15180</v>
      </c>
      <c r="G1088" s="0" t="str">
        <f aca="false">TEXT(B1088,"MMM YYYY")</f>
        <v>Jan 2026</v>
      </c>
    </row>
    <row r="1089" customFormat="false" ht="15" hidden="false" customHeight="false" outlineLevel="0" collapsed="false">
      <c r="A1089" s="0" t="s">
        <v>2876</v>
      </c>
      <c r="B1089" s="4" t="n">
        <v>46028</v>
      </c>
      <c r="C1089" s="0" t="s">
        <v>378</v>
      </c>
      <c r="D1089" s="0" t="n">
        <v>12</v>
      </c>
      <c r="E1089" s="0" t="s">
        <v>2877</v>
      </c>
      <c r="F1089" s="3" t="n">
        <f aca="false">D1089*_xlfn.XLOOKUP(C1089,Item_Master!A:A,Item_Master!G:G)</f>
        <v>21840</v>
      </c>
      <c r="G1089" s="0" t="str">
        <f aca="false">TEXT(B1089,"MMM YYYY")</f>
        <v>Jan 2026</v>
      </c>
    </row>
    <row r="1090" customFormat="false" ht="15" hidden="false" customHeight="false" outlineLevel="0" collapsed="false">
      <c r="A1090" s="0" t="s">
        <v>2878</v>
      </c>
      <c r="B1090" s="4" t="n">
        <v>46028</v>
      </c>
      <c r="C1090" s="0" t="s">
        <v>469</v>
      </c>
      <c r="D1090" s="0" t="n">
        <v>14</v>
      </c>
      <c r="E1090" s="0" t="s">
        <v>2879</v>
      </c>
      <c r="F1090" s="3" t="n">
        <f aca="false">D1090*_xlfn.XLOOKUP(C1090,Item_Master!A:A,Item_Master!G:G)</f>
        <v>58240</v>
      </c>
      <c r="G1090" s="0" t="str">
        <f aca="false">TEXT(B1090,"MMM YYYY")</f>
        <v>Jan 2026</v>
      </c>
    </row>
    <row r="1091" customFormat="false" ht="15" hidden="false" customHeight="false" outlineLevel="0" collapsed="false">
      <c r="A1091" s="0" t="s">
        <v>2880</v>
      </c>
      <c r="B1091" s="4" t="n">
        <v>46028</v>
      </c>
      <c r="C1091" s="0" t="s">
        <v>574</v>
      </c>
      <c r="D1091" s="0" t="n">
        <v>17</v>
      </c>
      <c r="E1091" s="0" t="s">
        <v>2881</v>
      </c>
      <c r="F1091" s="3" t="n">
        <f aca="false">D1091*_xlfn.XLOOKUP(C1091,Item_Master!A:A,Item_Master!G:G)</f>
        <v>46920</v>
      </c>
      <c r="G1091" s="0" t="str">
        <f aca="false">TEXT(B1091,"MMM YYYY")</f>
        <v>Jan 2026</v>
      </c>
    </row>
    <row r="1092" customFormat="false" ht="15" hidden="false" customHeight="false" outlineLevel="0" collapsed="false">
      <c r="A1092" s="0" t="s">
        <v>2882</v>
      </c>
      <c r="B1092" s="4" t="n">
        <v>46028</v>
      </c>
      <c r="C1092" s="0" t="s">
        <v>674</v>
      </c>
      <c r="D1092" s="0" t="n">
        <v>24</v>
      </c>
      <c r="E1092" s="0" t="s">
        <v>2883</v>
      </c>
      <c r="F1092" s="3" t="n">
        <f aca="false">D1092*_xlfn.XLOOKUP(C1092,Item_Master!A:A,Item_Master!G:G)</f>
        <v>17040</v>
      </c>
      <c r="G1092" s="0" t="str">
        <f aca="false">TEXT(B1092,"MMM YYYY")</f>
        <v>Jan 2026</v>
      </c>
    </row>
    <row r="1093" customFormat="false" ht="15" hidden="false" customHeight="false" outlineLevel="0" collapsed="false">
      <c r="A1093" s="0" t="s">
        <v>2884</v>
      </c>
      <c r="B1093" s="4" t="n">
        <v>46028</v>
      </c>
      <c r="C1093" s="0" t="s">
        <v>674</v>
      </c>
      <c r="D1093" s="0" t="n">
        <v>8</v>
      </c>
      <c r="E1093" s="0" t="s">
        <v>2885</v>
      </c>
      <c r="F1093" s="3" t="n">
        <f aca="false">D1093*_xlfn.XLOOKUP(C1093,Item_Master!A:A,Item_Master!G:G)</f>
        <v>5680</v>
      </c>
      <c r="G1093" s="0" t="str">
        <f aca="false">TEXT(B1093,"MMM YYYY")</f>
        <v>Jan 2026</v>
      </c>
    </row>
    <row r="1094" customFormat="false" ht="15" hidden="false" customHeight="false" outlineLevel="0" collapsed="false">
      <c r="A1094" s="0" t="s">
        <v>2886</v>
      </c>
      <c r="B1094" s="4" t="n">
        <v>46029</v>
      </c>
      <c r="C1094" s="0" t="s">
        <v>87</v>
      </c>
      <c r="D1094" s="0" t="n">
        <v>19</v>
      </c>
      <c r="E1094" s="0" t="s">
        <v>2887</v>
      </c>
      <c r="F1094" s="3" t="n">
        <f aca="false">D1094*_xlfn.XLOOKUP(C1094,Item_Master!A:A,Item_Master!G:G)</f>
        <v>37810</v>
      </c>
      <c r="G1094" s="0" t="str">
        <f aca="false">TEXT(B1094,"MMM YYYY")</f>
        <v>Jan 2026</v>
      </c>
    </row>
    <row r="1095" customFormat="false" ht="15" hidden="false" customHeight="false" outlineLevel="0" collapsed="false">
      <c r="A1095" s="0" t="s">
        <v>2888</v>
      </c>
      <c r="B1095" s="4" t="n">
        <v>46029</v>
      </c>
      <c r="C1095" s="0" t="s">
        <v>98</v>
      </c>
      <c r="D1095" s="0" t="n">
        <v>34</v>
      </c>
      <c r="E1095" s="0" t="s">
        <v>2889</v>
      </c>
      <c r="F1095" s="3" t="n">
        <f aca="false">D1095*_xlfn.XLOOKUP(C1095,Item_Master!A:A,Item_Master!G:G)</f>
        <v>33660</v>
      </c>
      <c r="G1095" s="0" t="str">
        <f aca="false">TEXT(B1095,"MMM YYYY")</f>
        <v>Jan 2026</v>
      </c>
    </row>
    <row r="1096" customFormat="false" ht="15" hidden="false" customHeight="false" outlineLevel="0" collapsed="false">
      <c r="A1096" s="0" t="s">
        <v>2890</v>
      </c>
      <c r="B1096" s="4" t="n">
        <v>46029</v>
      </c>
      <c r="C1096" s="0" t="s">
        <v>183</v>
      </c>
      <c r="D1096" s="0" t="n">
        <v>10</v>
      </c>
      <c r="E1096" s="0" t="s">
        <v>2891</v>
      </c>
      <c r="F1096" s="3" t="n">
        <f aca="false">D1096*_xlfn.XLOOKUP(C1096,Item_Master!A:A,Item_Master!G:G)</f>
        <v>21600</v>
      </c>
      <c r="G1096" s="0" t="str">
        <f aca="false">TEXT(B1096,"MMM YYYY")</f>
        <v>Jan 2026</v>
      </c>
    </row>
    <row r="1097" customFormat="false" ht="15" hidden="false" customHeight="false" outlineLevel="0" collapsed="false">
      <c r="A1097" s="0" t="s">
        <v>2892</v>
      </c>
      <c r="B1097" s="4" t="n">
        <v>46029</v>
      </c>
      <c r="C1097" s="0" t="s">
        <v>200</v>
      </c>
      <c r="D1097" s="0" t="n">
        <v>8</v>
      </c>
      <c r="E1097" s="0" t="s">
        <v>2893</v>
      </c>
      <c r="F1097" s="3" t="n">
        <f aca="false">D1097*_xlfn.XLOOKUP(C1097,Item_Master!A:A,Item_Master!G:G)</f>
        <v>8320</v>
      </c>
      <c r="G1097" s="0" t="str">
        <f aca="false">TEXT(B1097,"MMM YYYY")</f>
        <v>Jan 2026</v>
      </c>
    </row>
    <row r="1098" customFormat="false" ht="15" hidden="false" customHeight="false" outlineLevel="0" collapsed="false">
      <c r="A1098" s="0" t="s">
        <v>2894</v>
      </c>
      <c r="B1098" s="4" t="n">
        <v>46029</v>
      </c>
      <c r="C1098" s="0" t="s">
        <v>235</v>
      </c>
      <c r="D1098" s="0" t="n">
        <v>27</v>
      </c>
      <c r="E1098" s="0" t="s">
        <v>2895</v>
      </c>
      <c r="F1098" s="3" t="n">
        <f aca="false">D1098*_xlfn.XLOOKUP(C1098,Item_Master!A:A,Item_Master!G:G)</f>
        <v>64800</v>
      </c>
      <c r="G1098" s="0" t="str">
        <f aca="false">TEXT(B1098,"MMM YYYY")</f>
        <v>Jan 2026</v>
      </c>
    </row>
    <row r="1099" customFormat="false" ht="15" hidden="false" customHeight="false" outlineLevel="0" collapsed="false">
      <c r="A1099" s="0" t="s">
        <v>2896</v>
      </c>
      <c r="B1099" s="4" t="n">
        <v>46029</v>
      </c>
      <c r="C1099" s="0" t="s">
        <v>328</v>
      </c>
      <c r="D1099" s="0" t="n">
        <v>14</v>
      </c>
      <c r="E1099" s="0" t="s">
        <v>2897</v>
      </c>
      <c r="F1099" s="3" t="n">
        <f aca="false">D1099*_xlfn.XLOOKUP(C1099,Item_Master!A:A,Item_Master!G:G)</f>
        <v>42980</v>
      </c>
      <c r="G1099" s="0" t="str">
        <f aca="false">TEXT(B1099,"MMM YYYY")</f>
        <v>Jan 2026</v>
      </c>
    </row>
    <row r="1100" customFormat="false" ht="15" hidden="false" customHeight="false" outlineLevel="0" collapsed="false">
      <c r="A1100" s="0" t="s">
        <v>2898</v>
      </c>
      <c r="B1100" s="4" t="n">
        <v>46029</v>
      </c>
      <c r="C1100" s="0" t="s">
        <v>366</v>
      </c>
      <c r="D1100" s="0" t="n">
        <v>16</v>
      </c>
      <c r="E1100" s="0" t="s">
        <v>2899</v>
      </c>
      <c r="F1100" s="3" t="n">
        <f aca="false">D1100*_xlfn.XLOOKUP(C1100,Item_Master!A:A,Item_Master!G:G)</f>
        <v>43680</v>
      </c>
      <c r="G1100" s="0" t="str">
        <f aca="false">TEXT(B1100,"MMM YYYY")</f>
        <v>Jan 2026</v>
      </c>
    </row>
    <row r="1101" customFormat="false" ht="15" hidden="false" customHeight="false" outlineLevel="0" collapsed="false">
      <c r="A1101" s="0" t="s">
        <v>2900</v>
      </c>
      <c r="B1101" s="4" t="n">
        <v>46029</v>
      </c>
      <c r="C1101" s="0" t="s">
        <v>413</v>
      </c>
      <c r="D1101" s="0" t="n">
        <v>34</v>
      </c>
      <c r="E1101" s="0" t="s">
        <v>2901</v>
      </c>
      <c r="F1101" s="3" t="n">
        <f aca="false">D1101*_xlfn.XLOOKUP(C1101,Item_Master!A:A,Item_Master!G:G)</f>
        <v>40460</v>
      </c>
      <c r="G1101" s="0" t="str">
        <f aca="false">TEXT(B1101,"MMM YYYY")</f>
        <v>Jan 2026</v>
      </c>
    </row>
    <row r="1102" customFormat="false" ht="15" hidden="false" customHeight="false" outlineLevel="0" collapsed="false">
      <c r="A1102" s="0" t="s">
        <v>2902</v>
      </c>
      <c r="B1102" s="4" t="n">
        <v>46029</v>
      </c>
      <c r="C1102" s="0" t="s">
        <v>467</v>
      </c>
      <c r="D1102" s="0" t="n">
        <v>2</v>
      </c>
      <c r="E1102" s="0" t="s">
        <v>2903</v>
      </c>
      <c r="F1102" s="3" t="n">
        <f aca="false">D1102*_xlfn.XLOOKUP(C1102,Item_Master!A:A,Item_Master!G:G)</f>
        <v>14260</v>
      </c>
      <c r="G1102" s="0" t="str">
        <f aca="false">TEXT(B1102,"MMM YYYY")</f>
        <v>Jan 2026</v>
      </c>
    </row>
    <row r="1103" customFormat="false" ht="15" hidden="false" customHeight="false" outlineLevel="0" collapsed="false">
      <c r="A1103" s="0" t="s">
        <v>2904</v>
      </c>
      <c r="B1103" s="4" t="n">
        <v>46029</v>
      </c>
      <c r="C1103" s="0" t="s">
        <v>480</v>
      </c>
      <c r="D1103" s="0" t="n">
        <v>20</v>
      </c>
      <c r="E1103" s="0" t="s">
        <v>2905</v>
      </c>
      <c r="F1103" s="3" t="n">
        <f aca="false">D1103*_xlfn.XLOOKUP(C1103,Item_Master!A:A,Item_Master!G:G)</f>
        <v>52600</v>
      </c>
      <c r="G1103" s="0" t="str">
        <f aca="false">TEXT(B1103,"MMM YYYY")</f>
        <v>Jan 2026</v>
      </c>
    </row>
    <row r="1104" customFormat="false" ht="15" hidden="false" customHeight="false" outlineLevel="0" collapsed="false">
      <c r="A1104" s="0" t="s">
        <v>2906</v>
      </c>
      <c r="B1104" s="4" t="n">
        <v>46029</v>
      </c>
      <c r="C1104" s="0" t="s">
        <v>574</v>
      </c>
      <c r="D1104" s="0" t="n">
        <v>3</v>
      </c>
      <c r="E1104" s="0" t="s">
        <v>2907</v>
      </c>
      <c r="F1104" s="3" t="n">
        <f aca="false">D1104*_xlfn.XLOOKUP(C1104,Item_Master!A:A,Item_Master!G:G)</f>
        <v>8280</v>
      </c>
      <c r="G1104" s="0" t="str">
        <f aca="false">TEXT(B1104,"MMM YYYY")</f>
        <v>Jan 2026</v>
      </c>
    </row>
    <row r="1105" customFormat="false" ht="15" hidden="false" customHeight="false" outlineLevel="0" collapsed="false">
      <c r="A1105" s="0" t="s">
        <v>2908</v>
      </c>
      <c r="B1105" s="4" t="n">
        <v>46029</v>
      </c>
      <c r="C1105" s="0" t="s">
        <v>586</v>
      </c>
      <c r="D1105" s="0" t="n">
        <v>22</v>
      </c>
      <c r="E1105" s="0" t="s">
        <v>2909</v>
      </c>
      <c r="F1105" s="3" t="n">
        <f aca="false">D1105*_xlfn.XLOOKUP(C1105,Item_Master!A:A,Item_Master!G:G)</f>
        <v>37400</v>
      </c>
      <c r="G1105" s="0" t="str">
        <f aca="false">TEXT(B1105,"MMM YYYY")</f>
        <v>Jan 2026</v>
      </c>
    </row>
    <row r="1106" customFormat="false" ht="15" hidden="false" customHeight="false" outlineLevel="0" collapsed="false">
      <c r="A1106" s="0" t="s">
        <v>2910</v>
      </c>
      <c r="B1106" s="4" t="n">
        <v>46029</v>
      </c>
      <c r="C1106" s="0" t="s">
        <v>635</v>
      </c>
      <c r="D1106" s="0" t="n">
        <v>26</v>
      </c>
      <c r="E1106" s="0" t="s">
        <v>2911</v>
      </c>
      <c r="F1106" s="3" t="n">
        <f aca="false">D1106*_xlfn.XLOOKUP(C1106,Item_Master!A:A,Item_Master!G:G)</f>
        <v>551460</v>
      </c>
      <c r="G1106" s="0" t="str">
        <f aca="false">TEXT(B1106,"MMM YYYY")</f>
        <v>Jan 2026</v>
      </c>
    </row>
    <row r="1107" customFormat="false" ht="15" hidden="false" customHeight="false" outlineLevel="0" collapsed="false">
      <c r="A1107" s="0" t="s">
        <v>2912</v>
      </c>
      <c r="B1107" s="4" t="n">
        <v>46029</v>
      </c>
      <c r="C1107" s="0" t="s">
        <v>653</v>
      </c>
      <c r="D1107" s="0" t="n">
        <v>21</v>
      </c>
      <c r="E1107" s="0" t="s">
        <v>2913</v>
      </c>
      <c r="F1107" s="3" t="n">
        <f aca="false">D1107*_xlfn.XLOOKUP(C1107,Item_Master!A:A,Item_Master!G:G)</f>
        <v>36540</v>
      </c>
      <c r="G1107" s="0" t="str">
        <f aca="false">TEXT(B1107,"MMM YYYY")</f>
        <v>Jan 2026</v>
      </c>
    </row>
    <row r="1108" customFormat="false" ht="15" hidden="false" customHeight="false" outlineLevel="0" collapsed="false">
      <c r="A1108" s="0" t="s">
        <v>2914</v>
      </c>
      <c r="B1108" s="4" t="n">
        <v>46030</v>
      </c>
      <c r="C1108" s="0" t="s">
        <v>32</v>
      </c>
      <c r="D1108" s="0" t="n">
        <v>8</v>
      </c>
      <c r="E1108" s="0" t="s">
        <v>2915</v>
      </c>
      <c r="F1108" s="3" t="n">
        <f aca="false">D1108*_xlfn.XLOOKUP(C1108,Item_Master!A:A,Item_Master!G:G)</f>
        <v>32480</v>
      </c>
      <c r="G1108" s="0" t="str">
        <f aca="false">TEXT(B1108,"MMM YYYY")</f>
        <v>Jan 2026</v>
      </c>
    </row>
    <row r="1109" customFormat="false" ht="15" hidden="false" customHeight="false" outlineLevel="0" collapsed="false">
      <c r="A1109" s="0" t="s">
        <v>2916</v>
      </c>
      <c r="B1109" s="4" t="n">
        <v>46030</v>
      </c>
      <c r="C1109" s="0" t="s">
        <v>279</v>
      </c>
      <c r="D1109" s="0" t="n">
        <v>4</v>
      </c>
      <c r="E1109" s="0" t="s">
        <v>2917</v>
      </c>
      <c r="F1109" s="3" t="n">
        <f aca="false">D1109*_xlfn.XLOOKUP(C1109,Item_Master!A:A,Item_Master!G:G)</f>
        <v>51880</v>
      </c>
      <c r="G1109" s="0" t="str">
        <f aca="false">TEXT(B1109,"MMM YYYY")</f>
        <v>Jan 2026</v>
      </c>
    </row>
    <row r="1110" customFormat="false" ht="15" hidden="false" customHeight="false" outlineLevel="0" collapsed="false">
      <c r="A1110" s="0" t="s">
        <v>2918</v>
      </c>
      <c r="B1110" s="4" t="n">
        <v>46030</v>
      </c>
      <c r="C1110" s="0" t="s">
        <v>334</v>
      </c>
      <c r="D1110" s="0" t="n">
        <v>27</v>
      </c>
      <c r="E1110" s="0" t="s">
        <v>2919</v>
      </c>
      <c r="F1110" s="3" t="n">
        <f aca="false">D1110*_xlfn.XLOOKUP(C1110,Item_Master!A:A,Item_Master!G:G)</f>
        <v>11880</v>
      </c>
      <c r="G1110" s="0" t="str">
        <f aca="false">TEXT(B1110,"MMM YYYY")</f>
        <v>Jan 2026</v>
      </c>
    </row>
    <row r="1111" customFormat="false" ht="15" hidden="false" customHeight="false" outlineLevel="0" collapsed="false">
      <c r="A1111" s="0" t="s">
        <v>2920</v>
      </c>
      <c r="B1111" s="4" t="n">
        <v>46030</v>
      </c>
      <c r="C1111" s="0" t="s">
        <v>380</v>
      </c>
      <c r="D1111" s="0" t="n">
        <v>17</v>
      </c>
      <c r="E1111" s="0" t="s">
        <v>2921</v>
      </c>
      <c r="F1111" s="3" t="n">
        <f aca="false">D1111*_xlfn.XLOOKUP(C1111,Item_Master!A:A,Item_Master!G:G)</f>
        <v>53890</v>
      </c>
      <c r="G1111" s="0" t="str">
        <f aca="false">TEXT(B1111,"MMM YYYY")</f>
        <v>Jan 2026</v>
      </c>
    </row>
    <row r="1112" customFormat="false" ht="15" hidden="false" customHeight="false" outlineLevel="0" collapsed="false">
      <c r="A1112" s="0" t="s">
        <v>2922</v>
      </c>
      <c r="B1112" s="4" t="n">
        <v>46030</v>
      </c>
      <c r="C1112" s="0" t="s">
        <v>404</v>
      </c>
      <c r="D1112" s="0" t="n">
        <v>8</v>
      </c>
      <c r="E1112" s="0" t="s">
        <v>2923</v>
      </c>
      <c r="F1112" s="3" t="n">
        <f aca="false">D1112*_xlfn.XLOOKUP(C1112,Item_Master!A:A,Item_Master!G:G)</f>
        <v>14080</v>
      </c>
      <c r="G1112" s="0" t="str">
        <f aca="false">TEXT(B1112,"MMM YYYY")</f>
        <v>Jan 2026</v>
      </c>
    </row>
    <row r="1113" customFormat="false" ht="15" hidden="false" customHeight="false" outlineLevel="0" collapsed="false">
      <c r="A1113" s="0" t="s">
        <v>2924</v>
      </c>
      <c r="B1113" s="4" t="n">
        <v>46030</v>
      </c>
      <c r="C1113" s="0" t="s">
        <v>453</v>
      </c>
      <c r="D1113" s="0" t="n">
        <v>20</v>
      </c>
      <c r="E1113" s="0" t="s">
        <v>2925</v>
      </c>
      <c r="F1113" s="3" t="n">
        <f aca="false">D1113*_xlfn.XLOOKUP(C1113,Item_Master!A:A,Item_Master!G:G)</f>
        <v>43800</v>
      </c>
      <c r="G1113" s="0" t="str">
        <f aca="false">TEXT(B1113,"MMM YYYY")</f>
        <v>Jan 2026</v>
      </c>
    </row>
    <row r="1114" customFormat="false" ht="15" hidden="false" customHeight="false" outlineLevel="0" collapsed="false">
      <c r="A1114" s="0" t="s">
        <v>2926</v>
      </c>
      <c r="B1114" s="4" t="n">
        <v>46030</v>
      </c>
      <c r="C1114" s="0" t="s">
        <v>470</v>
      </c>
      <c r="D1114" s="0" t="n">
        <v>20</v>
      </c>
      <c r="E1114" s="0" t="s">
        <v>2927</v>
      </c>
      <c r="F1114" s="3" t="n">
        <f aca="false">D1114*_xlfn.XLOOKUP(C1114,Item_Master!A:A,Item_Master!G:G)</f>
        <v>27400</v>
      </c>
      <c r="G1114" s="0" t="str">
        <f aca="false">TEXT(B1114,"MMM YYYY")</f>
        <v>Jan 2026</v>
      </c>
    </row>
    <row r="1115" customFormat="false" ht="15" hidden="false" customHeight="false" outlineLevel="0" collapsed="false">
      <c r="A1115" s="0" t="s">
        <v>2928</v>
      </c>
      <c r="B1115" s="4" t="n">
        <v>46030</v>
      </c>
      <c r="C1115" s="0" t="s">
        <v>493</v>
      </c>
      <c r="D1115" s="0" t="n">
        <v>6</v>
      </c>
      <c r="E1115" s="0" t="s">
        <v>2929</v>
      </c>
      <c r="F1115" s="3" t="n">
        <f aca="false">D1115*_xlfn.XLOOKUP(C1115,Item_Master!A:A,Item_Master!G:G)</f>
        <v>2820</v>
      </c>
      <c r="G1115" s="0" t="str">
        <f aca="false">TEXT(B1115,"MMM YYYY")</f>
        <v>Jan 2026</v>
      </c>
    </row>
    <row r="1116" customFormat="false" ht="15" hidden="false" customHeight="false" outlineLevel="0" collapsed="false">
      <c r="A1116" s="0" t="s">
        <v>2930</v>
      </c>
      <c r="B1116" s="4" t="n">
        <v>46030</v>
      </c>
      <c r="C1116" s="0" t="s">
        <v>541</v>
      </c>
      <c r="D1116" s="0" t="n">
        <v>2</v>
      </c>
      <c r="E1116" s="0" t="s">
        <v>2931</v>
      </c>
      <c r="F1116" s="3" t="n">
        <f aca="false">D1116*_xlfn.XLOOKUP(C1116,Item_Master!A:A,Item_Master!G:G)</f>
        <v>2320</v>
      </c>
      <c r="G1116" s="0" t="str">
        <f aca="false">TEXT(B1116,"MMM YYYY")</f>
        <v>Jan 2026</v>
      </c>
    </row>
    <row r="1117" customFormat="false" ht="15" hidden="false" customHeight="false" outlineLevel="0" collapsed="false">
      <c r="A1117" s="0" t="s">
        <v>2932</v>
      </c>
      <c r="B1117" s="4" t="n">
        <v>46030</v>
      </c>
      <c r="C1117" s="0" t="s">
        <v>645</v>
      </c>
      <c r="D1117" s="0" t="n">
        <v>18</v>
      </c>
      <c r="E1117" s="0" t="s">
        <v>2933</v>
      </c>
      <c r="F1117" s="3" t="n">
        <f aca="false">D1117*_xlfn.XLOOKUP(C1117,Item_Master!A:A,Item_Master!G:G)</f>
        <v>217980</v>
      </c>
      <c r="G1117" s="0" t="str">
        <f aca="false">TEXT(B1117,"MMM YYYY")</f>
        <v>Jan 2026</v>
      </c>
    </row>
    <row r="1118" customFormat="false" ht="15" hidden="false" customHeight="false" outlineLevel="0" collapsed="false">
      <c r="A1118" s="0" t="s">
        <v>2934</v>
      </c>
      <c r="B1118" s="4" t="n">
        <v>46030</v>
      </c>
      <c r="C1118" s="0" t="s">
        <v>667</v>
      </c>
      <c r="D1118" s="0" t="n">
        <v>30</v>
      </c>
      <c r="E1118" s="0" t="s">
        <v>2935</v>
      </c>
      <c r="F1118" s="3" t="n">
        <f aca="false">D1118*_xlfn.XLOOKUP(C1118,Item_Master!A:A,Item_Master!G:G)</f>
        <v>61500</v>
      </c>
      <c r="G1118" s="0" t="str">
        <f aca="false">TEXT(B1118,"MMM YYYY")</f>
        <v>Jan 2026</v>
      </c>
    </row>
    <row r="1119" customFormat="false" ht="15" hidden="false" customHeight="false" outlineLevel="0" collapsed="false">
      <c r="A1119" s="0" t="s">
        <v>2936</v>
      </c>
      <c r="B1119" s="4" t="n">
        <v>46030</v>
      </c>
      <c r="C1119" s="0" t="s">
        <v>706</v>
      </c>
      <c r="D1119" s="0" t="n">
        <v>36</v>
      </c>
      <c r="E1119" s="0" t="s">
        <v>2937</v>
      </c>
      <c r="F1119" s="3" t="n">
        <f aca="false">D1119*_xlfn.XLOOKUP(C1119,Item_Master!A:A,Item_Master!G:G)</f>
        <v>44280</v>
      </c>
      <c r="G1119" s="0" t="str">
        <f aca="false">TEXT(B1119,"MMM YYYY")</f>
        <v>Jan 2026</v>
      </c>
    </row>
    <row r="1120" customFormat="false" ht="15" hidden="false" customHeight="false" outlineLevel="0" collapsed="false">
      <c r="A1120" s="0" t="s">
        <v>2938</v>
      </c>
      <c r="B1120" s="4" t="n">
        <v>46031</v>
      </c>
      <c r="C1120" s="0" t="s">
        <v>136</v>
      </c>
      <c r="D1120" s="0" t="n">
        <v>5</v>
      </c>
      <c r="E1120" s="0" t="s">
        <v>2939</v>
      </c>
      <c r="F1120" s="3" t="n">
        <f aca="false">D1120*_xlfn.XLOOKUP(C1120,Item_Master!A:A,Item_Master!G:G)</f>
        <v>7450</v>
      </c>
      <c r="G1120" s="0" t="str">
        <f aca="false">TEXT(B1120,"MMM YYYY")</f>
        <v>Jan 2026</v>
      </c>
    </row>
    <row r="1121" customFormat="false" ht="15" hidden="false" customHeight="false" outlineLevel="0" collapsed="false">
      <c r="A1121" s="0" t="s">
        <v>2940</v>
      </c>
      <c r="B1121" s="4" t="n">
        <v>46031</v>
      </c>
      <c r="C1121" s="0" t="s">
        <v>156</v>
      </c>
      <c r="D1121" s="0" t="n">
        <v>27</v>
      </c>
      <c r="E1121" s="0" t="s">
        <v>2941</v>
      </c>
      <c r="F1121" s="3" t="n">
        <f aca="false">D1121*_xlfn.XLOOKUP(C1121,Item_Master!A:A,Item_Master!G:G)</f>
        <v>81000</v>
      </c>
      <c r="G1121" s="0" t="str">
        <f aca="false">TEXT(B1121,"MMM YYYY")</f>
        <v>Jan 2026</v>
      </c>
    </row>
    <row r="1122" customFormat="false" ht="15" hidden="false" customHeight="false" outlineLevel="0" collapsed="false">
      <c r="A1122" s="0" t="s">
        <v>2942</v>
      </c>
      <c r="B1122" s="4" t="n">
        <v>46031</v>
      </c>
      <c r="C1122" s="0" t="s">
        <v>158</v>
      </c>
      <c r="D1122" s="0" t="n">
        <v>1</v>
      </c>
      <c r="E1122" s="0" t="s">
        <v>2943</v>
      </c>
      <c r="F1122" s="3" t="n">
        <f aca="false">D1122*_xlfn.XLOOKUP(C1122,Item_Master!A:A,Item_Master!G:G)</f>
        <v>590</v>
      </c>
      <c r="G1122" s="0" t="str">
        <f aca="false">TEXT(B1122,"MMM YYYY")</f>
        <v>Jan 2026</v>
      </c>
    </row>
    <row r="1123" customFormat="false" ht="15" hidden="false" customHeight="false" outlineLevel="0" collapsed="false">
      <c r="A1123" s="0" t="s">
        <v>2944</v>
      </c>
      <c r="B1123" s="4" t="n">
        <v>46031</v>
      </c>
      <c r="C1123" s="0" t="s">
        <v>223</v>
      </c>
      <c r="D1123" s="0" t="n">
        <v>36</v>
      </c>
      <c r="E1123" s="0" t="s">
        <v>2945</v>
      </c>
      <c r="F1123" s="3" t="n">
        <f aca="false">D1123*_xlfn.XLOOKUP(C1123,Item_Master!A:A,Item_Master!G:G)</f>
        <v>9360</v>
      </c>
      <c r="G1123" s="0" t="str">
        <f aca="false">TEXT(B1123,"MMM YYYY")</f>
        <v>Jan 2026</v>
      </c>
    </row>
    <row r="1124" customFormat="false" ht="15" hidden="false" customHeight="false" outlineLevel="0" collapsed="false">
      <c r="A1124" s="0" t="s">
        <v>2946</v>
      </c>
      <c r="B1124" s="4" t="n">
        <v>46031</v>
      </c>
      <c r="C1124" s="0" t="s">
        <v>319</v>
      </c>
      <c r="D1124" s="0" t="n">
        <v>37</v>
      </c>
      <c r="E1124" s="0" t="s">
        <v>2947</v>
      </c>
      <c r="F1124" s="3" t="n">
        <f aca="false">D1124*_xlfn.XLOOKUP(C1124,Item_Master!A:A,Item_Master!G:G)</f>
        <v>840270</v>
      </c>
      <c r="G1124" s="0" t="str">
        <f aca="false">TEXT(B1124,"MMM YYYY")</f>
        <v>Jan 2026</v>
      </c>
    </row>
    <row r="1125" customFormat="false" ht="15" hidden="false" customHeight="false" outlineLevel="0" collapsed="false">
      <c r="A1125" s="0" t="s">
        <v>2948</v>
      </c>
      <c r="B1125" s="4" t="n">
        <v>46031</v>
      </c>
      <c r="C1125" s="0" t="s">
        <v>338</v>
      </c>
      <c r="D1125" s="0" t="n">
        <v>7</v>
      </c>
      <c r="E1125" s="0" t="s">
        <v>2949</v>
      </c>
      <c r="F1125" s="3" t="n">
        <f aca="false">D1125*_xlfn.XLOOKUP(C1125,Item_Master!A:A,Item_Master!G:G)</f>
        <v>22120</v>
      </c>
      <c r="G1125" s="0" t="str">
        <f aca="false">TEXT(B1125,"MMM YYYY")</f>
        <v>Jan 2026</v>
      </c>
    </row>
    <row r="1126" customFormat="false" ht="15" hidden="false" customHeight="false" outlineLevel="0" collapsed="false">
      <c r="A1126" s="0" t="s">
        <v>2950</v>
      </c>
      <c r="B1126" s="4" t="n">
        <v>46031</v>
      </c>
      <c r="C1126" s="0" t="s">
        <v>363</v>
      </c>
      <c r="D1126" s="0" t="n">
        <v>35</v>
      </c>
      <c r="E1126" s="0" t="s">
        <v>2951</v>
      </c>
      <c r="F1126" s="3" t="n">
        <f aca="false">D1126*_xlfn.XLOOKUP(C1126,Item_Master!A:A,Item_Master!G:G)</f>
        <v>48300</v>
      </c>
      <c r="G1126" s="0" t="str">
        <f aca="false">TEXT(B1126,"MMM YYYY")</f>
        <v>Jan 2026</v>
      </c>
    </row>
    <row r="1127" customFormat="false" ht="15" hidden="false" customHeight="false" outlineLevel="0" collapsed="false">
      <c r="A1127" s="0" t="s">
        <v>2952</v>
      </c>
      <c r="B1127" s="4" t="n">
        <v>46031</v>
      </c>
      <c r="C1127" s="0" t="s">
        <v>567</v>
      </c>
      <c r="D1127" s="0" t="n">
        <v>25</v>
      </c>
      <c r="E1127" s="0" t="s">
        <v>2953</v>
      </c>
      <c r="F1127" s="3" t="n">
        <f aca="false">D1127*_xlfn.XLOOKUP(C1127,Item_Master!A:A,Item_Master!G:G)</f>
        <v>22250</v>
      </c>
      <c r="G1127" s="0" t="str">
        <f aca="false">TEXT(B1127,"MMM YYYY")</f>
        <v>Jan 2026</v>
      </c>
    </row>
    <row r="1128" customFormat="false" ht="15" hidden="false" customHeight="false" outlineLevel="0" collapsed="false">
      <c r="A1128" s="0" t="s">
        <v>2954</v>
      </c>
      <c r="B1128" s="4" t="n">
        <v>46031</v>
      </c>
      <c r="C1128" s="0" t="s">
        <v>590</v>
      </c>
      <c r="D1128" s="0" t="n">
        <v>15</v>
      </c>
      <c r="E1128" s="0" t="s">
        <v>2955</v>
      </c>
      <c r="F1128" s="3" t="n">
        <f aca="false">D1128*_xlfn.XLOOKUP(C1128,Item_Master!A:A,Item_Master!G:G)</f>
        <v>27750</v>
      </c>
      <c r="G1128" s="0" t="str">
        <f aca="false">TEXT(B1128,"MMM YYYY")</f>
        <v>Jan 2026</v>
      </c>
    </row>
    <row r="1129" customFormat="false" ht="15" hidden="false" customHeight="false" outlineLevel="0" collapsed="false">
      <c r="A1129" s="0" t="s">
        <v>2956</v>
      </c>
      <c r="B1129" s="4" t="n">
        <v>46031</v>
      </c>
      <c r="C1129" s="0" t="s">
        <v>614</v>
      </c>
      <c r="D1129" s="0" t="n">
        <v>13</v>
      </c>
      <c r="E1129" s="0" t="s">
        <v>2957</v>
      </c>
      <c r="F1129" s="3" t="n">
        <f aca="false">D1129*_xlfn.XLOOKUP(C1129,Item_Master!A:A,Item_Master!G:G)</f>
        <v>25740</v>
      </c>
      <c r="G1129" s="0" t="str">
        <f aca="false">TEXT(B1129,"MMM YYYY")</f>
        <v>Jan 2026</v>
      </c>
    </row>
    <row r="1130" customFormat="false" ht="15" hidden="false" customHeight="false" outlineLevel="0" collapsed="false">
      <c r="A1130" s="0" t="s">
        <v>2958</v>
      </c>
      <c r="B1130" s="4" t="n">
        <v>46031</v>
      </c>
      <c r="C1130" s="0" t="s">
        <v>622</v>
      </c>
      <c r="D1130" s="0" t="n">
        <v>1</v>
      </c>
      <c r="E1130" s="0" t="s">
        <v>1124</v>
      </c>
      <c r="F1130" s="3" t="n">
        <f aca="false">D1130*_xlfn.XLOOKUP(C1130,Item_Master!A:A,Item_Master!G:G)</f>
        <v>1110</v>
      </c>
      <c r="G1130" s="0" t="str">
        <f aca="false">TEXT(B1130,"MMM YYYY")</f>
        <v>Jan 2026</v>
      </c>
    </row>
    <row r="1131" customFormat="false" ht="15" hidden="false" customHeight="false" outlineLevel="0" collapsed="false">
      <c r="A1131" s="0" t="s">
        <v>2959</v>
      </c>
      <c r="B1131" s="4" t="n">
        <v>46031</v>
      </c>
      <c r="C1131" s="0" t="s">
        <v>641</v>
      </c>
      <c r="D1131" s="0" t="n">
        <v>29</v>
      </c>
      <c r="E1131" s="0" t="s">
        <v>2960</v>
      </c>
      <c r="F1131" s="3" t="n">
        <f aca="false">D1131*_xlfn.XLOOKUP(C1131,Item_Master!A:A,Item_Master!G:G)</f>
        <v>61480</v>
      </c>
      <c r="G1131" s="0" t="str">
        <f aca="false">TEXT(B1131,"MMM YYYY")</f>
        <v>Jan 2026</v>
      </c>
    </row>
    <row r="1132" customFormat="false" ht="15" hidden="false" customHeight="false" outlineLevel="0" collapsed="false">
      <c r="A1132" s="0" t="s">
        <v>2961</v>
      </c>
      <c r="B1132" s="4" t="n">
        <v>46031</v>
      </c>
      <c r="C1132" s="0" t="s">
        <v>665</v>
      </c>
      <c r="D1132" s="0" t="n">
        <v>5</v>
      </c>
      <c r="E1132" s="0" t="s">
        <v>2962</v>
      </c>
      <c r="F1132" s="3" t="n">
        <f aca="false">D1132*_xlfn.XLOOKUP(C1132,Item_Master!A:A,Item_Master!G:G)</f>
        <v>5700</v>
      </c>
      <c r="G1132" s="0" t="str">
        <f aca="false">TEXT(B1132,"MMM YYYY")</f>
        <v>Jan 2026</v>
      </c>
    </row>
    <row r="1133" customFormat="false" ht="15" hidden="false" customHeight="false" outlineLevel="0" collapsed="false">
      <c r="A1133" s="0" t="s">
        <v>2963</v>
      </c>
      <c r="B1133" s="4" t="n">
        <v>46032</v>
      </c>
      <c r="C1133" s="0" t="s">
        <v>47</v>
      </c>
      <c r="D1133" s="0" t="n">
        <v>13</v>
      </c>
      <c r="E1133" s="0" t="s">
        <v>2964</v>
      </c>
      <c r="F1133" s="3" t="n">
        <f aca="false">D1133*_xlfn.XLOOKUP(C1133,Item_Master!A:A,Item_Master!G:G)</f>
        <v>3900</v>
      </c>
      <c r="G1133" s="0" t="str">
        <f aca="false">TEXT(B1133,"MMM YYYY")</f>
        <v>Jan 2026</v>
      </c>
    </row>
    <row r="1134" customFormat="false" ht="15" hidden="false" customHeight="false" outlineLevel="0" collapsed="false">
      <c r="A1134" s="0" t="s">
        <v>2965</v>
      </c>
      <c r="B1134" s="4" t="n">
        <v>46032</v>
      </c>
      <c r="C1134" s="0" t="s">
        <v>98</v>
      </c>
      <c r="D1134" s="0" t="n">
        <v>20</v>
      </c>
      <c r="E1134" s="0" t="s">
        <v>2966</v>
      </c>
      <c r="F1134" s="3" t="n">
        <f aca="false">D1134*_xlfn.XLOOKUP(C1134,Item_Master!A:A,Item_Master!G:G)</f>
        <v>19800</v>
      </c>
      <c r="G1134" s="0" t="str">
        <f aca="false">TEXT(B1134,"MMM YYYY")</f>
        <v>Jan 2026</v>
      </c>
    </row>
    <row r="1135" customFormat="false" ht="15" hidden="false" customHeight="false" outlineLevel="0" collapsed="false">
      <c r="A1135" s="0" t="s">
        <v>2967</v>
      </c>
      <c r="B1135" s="4" t="n">
        <v>46032</v>
      </c>
      <c r="C1135" s="0" t="s">
        <v>204</v>
      </c>
      <c r="D1135" s="0" t="n">
        <v>8</v>
      </c>
      <c r="E1135" s="0" t="s">
        <v>2968</v>
      </c>
      <c r="F1135" s="3" t="n">
        <f aca="false">D1135*_xlfn.XLOOKUP(C1135,Item_Master!A:A,Item_Master!G:G)</f>
        <v>11280</v>
      </c>
      <c r="G1135" s="0" t="str">
        <f aca="false">TEXT(B1135,"MMM YYYY")</f>
        <v>Jan 2026</v>
      </c>
    </row>
    <row r="1136" customFormat="false" ht="15" hidden="false" customHeight="false" outlineLevel="0" collapsed="false">
      <c r="A1136" s="0" t="s">
        <v>2969</v>
      </c>
      <c r="B1136" s="4" t="n">
        <v>46032</v>
      </c>
      <c r="C1136" s="0" t="s">
        <v>265</v>
      </c>
      <c r="D1136" s="0" t="n">
        <v>18</v>
      </c>
      <c r="E1136" s="0" t="s">
        <v>2231</v>
      </c>
      <c r="F1136" s="3" t="n">
        <f aca="false">D1136*_xlfn.XLOOKUP(C1136,Item_Master!A:A,Item_Master!G:G)</f>
        <v>4860</v>
      </c>
      <c r="G1136" s="0" t="str">
        <f aca="false">TEXT(B1136,"MMM YYYY")</f>
        <v>Jan 2026</v>
      </c>
    </row>
    <row r="1137" customFormat="false" ht="15" hidden="false" customHeight="false" outlineLevel="0" collapsed="false">
      <c r="A1137" s="0" t="s">
        <v>2970</v>
      </c>
      <c r="B1137" s="4" t="n">
        <v>46032</v>
      </c>
      <c r="C1137" s="0" t="s">
        <v>393</v>
      </c>
      <c r="D1137" s="0" t="n">
        <v>27</v>
      </c>
      <c r="E1137" s="0" t="s">
        <v>2971</v>
      </c>
      <c r="F1137" s="3" t="n">
        <f aca="false">D1137*_xlfn.XLOOKUP(C1137,Item_Master!A:A,Item_Master!G:G)</f>
        <v>69390</v>
      </c>
      <c r="G1137" s="0" t="str">
        <f aca="false">TEXT(B1137,"MMM YYYY")</f>
        <v>Jan 2026</v>
      </c>
    </row>
    <row r="1138" customFormat="false" ht="15" hidden="false" customHeight="false" outlineLevel="0" collapsed="false">
      <c r="A1138" s="0" t="s">
        <v>2972</v>
      </c>
      <c r="B1138" s="4" t="n">
        <v>46032</v>
      </c>
      <c r="C1138" s="0" t="s">
        <v>422</v>
      </c>
      <c r="D1138" s="0" t="n">
        <v>18</v>
      </c>
      <c r="E1138" s="0" t="s">
        <v>2973</v>
      </c>
      <c r="F1138" s="3" t="n">
        <f aca="false">D1138*_xlfn.XLOOKUP(C1138,Item_Master!A:A,Item_Master!G:G)</f>
        <v>434700</v>
      </c>
      <c r="G1138" s="0" t="str">
        <f aca="false">TEXT(B1138,"MMM YYYY")</f>
        <v>Jan 2026</v>
      </c>
    </row>
    <row r="1139" customFormat="false" ht="15" hidden="false" customHeight="false" outlineLevel="0" collapsed="false">
      <c r="A1139" s="0" t="s">
        <v>2974</v>
      </c>
      <c r="B1139" s="4" t="n">
        <v>46032</v>
      </c>
      <c r="C1139" s="0" t="s">
        <v>469</v>
      </c>
      <c r="D1139" s="0" t="n">
        <v>36</v>
      </c>
      <c r="E1139" s="0" t="s">
        <v>2975</v>
      </c>
      <c r="F1139" s="3" t="n">
        <f aca="false">D1139*_xlfn.XLOOKUP(C1139,Item_Master!A:A,Item_Master!G:G)</f>
        <v>149760</v>
      </c>
      <c r="G1139" s="0" t="str">
        <f aca="false">TEXT(B1139,"MMM YYYY")</f>
        <v>Jan 2026</v>
      </c>
    </row>
    <row r="1140" customFormat="false" ht="15" hidden="false" customHeight="false" outlineLevel="0" collapsed="false">
      <c r="A1140" s="0" t="s">
        <v>2976</v>
      </c>
      <c r="B1140" s="4" t="n">
        <v>46032</v>
      </c>
      <c r="C1140" s="0" t="s">
        <v>606</v>
      </c>
      <c r="D1140" s="0" t="n">
        <v>2</v>
      </c>
      <c r="E1140" s="0" t="s">
        <v>2977</v>
      </c>
      <c r="F1140" s="3" t="n">
        <f aca="false">D1140*_xlfn.XLOOKUP(C1140,Item_Master!A:A,Item_Master!G:G)</f>
        <v>3640</v>
      </c>
      <c r="G1140" s="0" t="str">
        <f aca="false">TEXT(B1140,"MMM YYYY")</f>
        <v>Jan 2026</v>
      </c>
    </row>
    <row r="1141" customFormat="false" ht="15" hidden="false" customHeight="false" outlineLevel="0" collapsed="false">
      <c r="A1141" s="0" t="s">
        <v>2978</v>
      </c>
      <c r="B1141" s="4" t="n">
        <v>46032</v>
      </c>
      <c r="C1141" s="0" t="s">
        <v>654</v>
      </c>
      <c r="D1141" s="0" t="n">
        <v>29</v>
      </c>
      <c r="E1141" s="0" t="s">
        <v>2979</v>
      </c>
      <c r="F1141" s="3" t="n">
        <f aca="false">D1141*_xlfn.XLOOKUP(C1141,Item_Master!A:A,Item_Master!G:G)</f>
        <v>52200</v>
      </c>
      <c r="G1141" s="0" t="str">
        <f aca="false">TEXT(B1141,"MMM YYYY")</f>
        <v>Jan 2026</v>
      </c>
    </row>
    <row r="1142" customFormat="false" ht="15" hidden="false" customHeight="false" outlineLevel="0" collapsed="false">
      <c r="A1142" s="0" t="s">
        <v>2980</v>
      </c>
      <c r="B1142" s="4" t="n">
        <v>46032</v>
      </c>
      <c r="C1142" s="0" t="s">
        <v>686</v>
      </c>
      <c r="D1142" s="0" t="n">
        <v>33</v>
      </c>
      <c r="E1142" s="0" t="s">
        <v>2981</v>
      </c>
      <c r="F1142" s="3" t="n">
        <f aca="false">D1142*_xlfn.XLOOKUP(C1142,Item_Master!A:A,Item_Master!G:G)</f>
        <v>115170</v>
      </c>
      <c r="G1142" s="0" t="str">
        <f aca="false">TEXT(B1142,"MMM YYYY")</f>
        <v>Jan 2026</v>
      </c>
    </row>
    <row r="1143" customFormat="false" ht="15" hidden="false" customHeight="false" outlineLevel="0" collapsed="false">
      <c r="A1143" s="0" t="s">
        <v>2982</v>
      </c>
      <c r="B1143" s="4" t="n">
        <v>46033</v>
      </c>
      <c r="C1143" s="0" t="s">
        <v>100</v>
      </c>
      <c r="D1143" s="0" t="n">
        <v>37</v>
      </c>
      <c r="E1143" s="0" t="s">
        <v>2983</v>
      </c>
      <c r="F1143" s="3" t="n">
        <f aca="false">D1143*_xlfn.XLOOKUP(C1143,Item_Master!A:A,Item_Master!G:G)</f>
        <v>374070</v>
      </c>
      <c r="G1143" s="0" t="str">
        <f aca="false">TEXT(B1143,"MMM YYYY")</f>
        <v>Jan 2026</v>
      </c>
    </row>
    <row r="1144" customFormat="false" ht="15" hidden="false" customHeight="false" outlineLevel="0" collapsed="false">
      <c r="A1144" s="0" t="s">
        <v>2984</v>
      </c>
      <c r="B1144" s="4" t="n">
        <v>46033</v>
      </c>
      <c r="C1144" s="0" t="s">
        <v>108</v>
      </c>
      <c r="D1144" s="0" t="n">
        <v>20</v>
      </c>
      <c r="E1144" s="0" t="s">
        <v>2985</v>
      </c>
      <c r="F1144" s="3" t="n">
        <f aca="false">D1144*_xlfn.XLOOKUP(C1144,Item_Master!A:A,Item_Master!G:G)</f>
        <v>29600</v>
      </c>
      <c r="G1144" s="0" t="str">
        <f aca="false">TEXT(B1144,"MMM YYYY")</f>
        <v>Jan 2026</v>
      </c>
    </row>
    <row r="1145" customFormat="false" ht="15" hidden="false" customHeight="false" outlineLevel="0" collapsed="false">
      <c r="A1145" s="0" t="s">
        <v>2986</v>
      </c>
      <c r="B1145" s="4" t="n">
        <v>46033</v>
      </c>
      <c r="C1145" s="0" t="s">
        <v>127</v>
      </c>
      <c r="D1145" s="0" t="n">
        <v>16</v>
      </c>
      <c r="E1145" s="0" t="s">
        <v>2987</v>
      </c>
      <c r="F1145" s="3" t="n">
        <f aca="false">D1145*_xlfn.XLOOKUP(C1145,Item_Master!A:A,Item_Master!G:G)</f>
        <v>43360</v>
      </c>
      <c r="G1145" s="0" t="str">
        <f aca="false">TEXT(B1145,"MMM YYYY")</f>
        <v>Jan 2026</v>
      </c>
    </row>
    <row r="1146" customFormat="false" ht="15" hidden="false" customHeight="false" outlineLevel="0" collapsed="false">
      <c r="A1146" s="0" t="s">
        <v>2988</v>
      </c>
      <c r="B1146" s="4" t="n">
        <v>46033</v>
      </c>
      <c r="C1146" s="0" t="s">
        <v>146</v>
      </c>
      <c r="D1146" s="0" t="n">
        <v>11</v>
      </c>
      <c r="E1146" s="0" t="s">
        <v>2989</v>
      </c>
      <c r="F1146" s="3" t="n">
        <f aca="false">D1146*_xlfn.XLOOKUP(C1146,Item_Master!A:A,Item_Master!G:G)</f>
        <v>30360</v>
      </c>
      <c r="G1146" s="0" t="str">
        <f aca="false">TEXT(B1146,"MMM YYYY")</f>
        <v>Jan 2026</v>
      </c>
    </row>
    <row r="1147" customFormat="false" ht="15" hidden="false" customHeight="false" outlineLevel="0" collapsed="false">
      <c r="A1147" s="0" t="s">
        <v>2990</v>
      </c>
      <c r="B1147" s="4" t="n">
        <v>46033</v>
      </c>
      <c r="C1147" s="0" t="s">
        <v>158</v>
      </c>
      <c r="D1147" s="0" t="n">
        <v>19</v>
      </c>
      <c r="E1147" s="0" t="s">
        <v>2991</v>
      </c>
      <c r="F1147" s="3" t="n">
        <f aca="false">D1147*_xlfn.XLOOKUP(C1147,Item_Master!A:A,Item_Master!G:G)</f>
        <v>11210</v>
      </c>
      <c r="G1147" s="0" t="str">
        <f aca="false">TEXT(B1147,"MMM YYYY")</f>
        <v>Jan 2026</v>
      </c>
    </row>
    <row r="1148" customFormat="false" ht="15" hidden="false" customHeight="false" outlineLevel="0" collapsed="false">
      <c r="A1148" s="0" t="s">
        <v>2992</v>
      </c>
      <c r="B1148" s="4" t="n">
        <v>46033</v>
      </c>
      <c r="C1148" s="0" t="s">
        <v>198</v>
      </c>
      <c r="D1148" s="0" t="n">
        <v>33</v>
      </c>
      <c r="E1148" s="0" t="s">
        <v>2993</v>
      </c>
      <c r="F1148" s="3" t="n">
        <f aca="false">D1148*_xlfn.XLOOKUP(C1148,Item_Master!A:A,Item_Master!G:G)</f>
        <v>346170</v>
      </c>
      <c r="G1148" s="0" t="str">
        <f aca="false">TEXT(B1148,"MMM YYYY")</f>
        <v>Jan 2026</v>
      </c>
    </row>
    <row r="1149" customFormat="false" ht="15" hidden="false" customHeight="false" outlineLevel="0" collapsed="false">
      <c r="A1149" s="0" t="s">
        <v>2994</v>
      </c>
      <c r="B1149" s="4" t="n">
        <v>46033</v>
      </c>
      <c r="C1149" s="0" t="s">
        <v>215</v>
      </c>
      <c r="D1149" s="0" t="n">
        <v>22</v>
      </c>
      <c r="E1149" s="0" t="s">
        <v>2995</v>
      </c>
      <c r="F1149" s="3" t="n">
        <f aca="false">D1149*_xlfn.XLOOKUP(C1149,Item_Master!A:A,Item_Master!G:G)</f>
        <v>12320</v>
      </c>
      <c r="G1149" s="0" t="str">
        <f aca="false">TEXT(B1149,"MMM YYYY")</f>
        <v>Jan 2026</v>
      </c>
    </row>
    <row r="1150" customFormat="false" ht="15" hidden="false" customHeight="false" outlineLevel="0" collapsed="false">
      <c r="A1150" s="0" t="s">
        <v>2996</v>
      </c>
      <c r="B1150" s="4" t="n">
        <v>46033</v>
      </c>
      <c r="C1150" s="0" t="s">
        <v>389</v>
      </c>
      <c r="D1150" s="0" t="n">
        <v>18</v>
      </c>
      <c r="E1150" s="0" t="s">
        <v>2997</v>
      </c>
      <c r="F1150" s="3" t="n">
        <f aca="false">D1150*_xlfn.XLOOKUP(C1150,Item_Master!A:A,Item_Master!G:G)</f>
        <v>35460</v>
      </c>
      <c r="G1150" s="0" t="str">
        <f aca="false">TEXT(B1150,"MMM YYYY")</f>
        <v>Jan 2026</v>
      </c>
    </row>
    <row r="1151" customFormat="false" ht="15" hidden="false" customHeight="false" outlineLevel="0" collapsed="false">
      <c r="A1151" s="0" t="s">
        <v>2998</v>
      </c>
      <c r="B1151" s="4" t="n">
        <v>46033</v>
      </c>
      <c r="C1151" s="0" t="s">
        <v>396</v>
      </c>
      <c r="D1151" s="0" t="n">
        <v>3</v>
      </c>
      <c r="E1151" s="0" t="s">
        <v>2999</v>
      </c>
      <c r="F1151" s="3" t="n">
        <f aca="false">D1151*_xlfn.XLOOKUP(C1151,Item_Master!A:A,Item_Master!G:G)</f>
        <v>7920</v>
      </c>
      <c r="G1151" s="0" t="str">
        <f aca="false">TEXT(B1151,"MMM YYYY")</f>
        <v>Jan 2026</v>
      </c>
    </row>
    <row r="1152" customFormat="false" ht="15" hidden="false" customHeight="false" outlineLevel="0" collapsed="false">
      <c r="A1152" s="0" t="s">
        <v>3000</v>
      </c>
      <c r="B1152" s="4" t="n">
        <v>46033</v>
      </c>
      <c r="C1152" s="0" t="s">
        <v>422</v>
      </c>
      <c r="D1152" s="0" t="n">
        <v>8</v>
      </c>
      <c r="E1152" s="0" t="s">
        <v>3001</v>
      </c>
      <c r="F1152" s="3" t="n">
        <f aca="false">D1152*_xlfn.XLOOKUP(C1152,Item_Master!A:A,Item_Master!G:G)</f>
        <v>193200</v>
      </c>
      <c r="G1152" s="0" t="str">
        <f aca="false">TEXT(B1152,"MMM YYYY")</f>
        <v>Jan 2026</v>
      </c>
    </row>
    <row r="1153" customFormat="false" ht="15" hidden="false" customHeight="false" outlineLevel="0" collapsed="false">
      <c r="A1153" s="0" t="s">
        <v>3002</v>
      </c>
      <c r="B1153" s="4" t="n">
        <v>46033</v>
      </c>
      <c r="C1153" s="0" t="s">
        <v>476</v>
      </c>
      <c r="D1153" s="0" t="n">
        <v>3</v>
      </c>
      <c r="E1153" s="0" t="s">
        <v>3003</v>
      </c>
      <c r="F1153" s="3" t="n">
        <f aca="false">D1153*_xlfn.XLOOKUP(C1153,Item_Master!A:A,Item_Master!G:G)</f>
        <v>1830</v>
      </c>
      <c r="G1153" s="0" t="str">
        <f aca="false">TEXT(B1153,"MMM YYYY")</f>
        <v>Jan 2026</v>
      </c>
    </row>
    <row r="1154" customFormat="false" ht="15" hidden="false" customHeight="false" outlineLevel="0" collapsed="false">
      <c r="A1154" s="0" t="s">
        <v>3004</v>
      </c>
      <c r="B1154" s="4" t="n">
        <v>46033</v>
      </c>
      <c r="C1154" s="0" t="s">
        <v>478</v>
      </c>
      <c r="D1154" s="0" t="n">
        <v>22</v>
      </c>
      <c r="E1154" s="0" t="s">
        <v>3005</v>
      </c>
      <c r="F1154" s="3" t="n">
        <f aca="false">D1154*_xlfn.XLOOKUP(C1154,Item_Master!A:A,Item_Master!G:G)</f>
        <v>44660</v>
      </c>
      <c r="G1154" s="0" t="str">
        <f aca="false">TEXT(B1154,"MMM YYYY")</f>
        <v>Jan 2026</v>
      </c>
    </row>
    <row r="1155" customFormat="false" ht="15" hidden="false" customHeight="false" outlineLevel="0" collapsed="false">
      <c r="A1155" s="0" t="s">
        <v>3006</v>
      </c>
      <c r="B1155" s="4" t="n">
        <v>46033</v>
      </c>
      <c r="C1155" s="0" t="s">
        <v>511</v>
      </c>
      <c r="D1155" s="0" t="n">
        <v>1</v>
      </c>
      <c r="E1155" s="0" t="s">
        <v>3007</v>
      </c>
      <c r="F1155" s="3" t="n">
        <f aca="false">D1155*_xlfn.XLOOKUP(C1155,Item_Master!A:A,Item_Master!G:G)</f>
        <v>2610</v>
      </c>
      <c r="G1155" s="0" t="str">
        <f aca="false">TEXT(B1155,"MMM YYYY")</f>
        <v>Jan 2026</v>
      </c>
    </row>
    <row r="1156" customFormat="false" ht="15" hidden="false" customHeight="false" outlineLevel="0" collapsed="false">
      <c r="A1156" s="0" t="s">
        <v>3008</v>
      </c>
      <c r="B1156" s="4" t="n">
        <v>46033</v>
      </c>
      <c r="C1156" s="0" t="s">
        <v>519</v>
      </c>
      <c r="D1156" s="0" t="n">
        <v>9</v>
      </c>
      <c r="E1156" s="0" t="s">
        <v>3009</v>
      </c>
      <c r="F1156" s="3" t="n">
        <f aca="false">D1156*_xlfn.XLOOKUP(C1156,Item_Master!A:A,Item_Master!G:G)</f>
        <v>5130</v>
      </c>
      <c r="G1156" s="0" t="str">
        <f aca="false">TEXT(B1156,"MMM YYYY")</f>
        <v>Jan 2026</v>
      </c>
    </row>
    <row r="1157" customFormat="false" ht="15" hidden="false" customHeight="false" outlineLevel="0" collapsed="false">
      <c r="A1157" s="0" t="s">
        <v>3010</v>
      </c>
      <c r="B1157" s="4" t="n">
        <v>46033</v>
      </c>
      <c r="C1157" s="0" t="s">
        <v>549</v>
      </c>
      <c r="D1157" s="0" t="n">
        <v>7</v>
      </c>
      <c r="E1157" s="0" t="s">
        <v>3011</v>
      </c>
      <c r="F1157" s="3" t="n">
        <f aca="false">D1157*_xlfn.XLOOKUP(C1157,Item_Master!A:A,Item_Master!G:G)</f>
        <v>79450</v>
      </c>
      <c r="G1157" s="0" t="str">
        <f aca="false">TEXT(B1157,"MMM YYYY")</f>
        <v>Jan 2026</v>
      </c>
    </row>
    <row r="1158" customFormat="false" ht="15" hidden="false" customHeight="false" outlineLevel="0" collapsed="false">
      <c r="A1158" s="0" t="s">
        <v>3012</v>
      </c>
      <c r="B1158" s="4" t="n">
        <v>46033</v>
      </c>
      <c r="C1158" s="0" t="s">
        <v>586</v>
      </c>
      <c r="D1158" s="0" t="n">
        <v>29</v>
      </c>
      <c r="E1158" s="0" t="s">
        <v>3013</v>
      </c>
      <c r="F1158" s="3" t="n">
        <f aca="false">D1158*_xlfn.XLOOKUP(C1158,Item_Master!A:A,Item_Master!G:G)</f>
        <v>49300</v>
      </c>
      <c r="G1158" s="0" t="str">
        <f aca="false">TEXT(B1158,"MMM YYYY")</f>
        <v>Jan 2026</v>
      </c>
    </row>
    <row r="1159" customFormat="false" ht="15" hidden="false" customHeight="false" outlineLevel="0" collapsed="false">
      <c r="A1159" s="0" t="s">
        <v>3014</v>
      </c>
      <c r="B1159" s="4" t="n">
        <v>46033</v>
      </c>
      <c r="C1159" s="0" t="s">
        <v>665</v>
      </c>
      <c r="D1159" s="0" t="n">
        <v>7</v>
      </c>
      <c r="E1159" s="0" t="s">
        <v>3015</v>
      </c>
      <c r="F1159" s="3" t="n">
        <f aca="false">D1159*_xlfn.XLOOKUP(C1159,Item_Master!A:A,Item_Master!G:G)</f>
        <v>7980</v>
      </c>
      <c r="G1159" s="0" t="str">
        <f aca="false">TEXT(B1159,"MMM YYYY")</f>
        <v>Jan 2026</v>
      </c>
    </row>
    <row r="1160" customFormat="false" ht="15" hidden="false" customHeight="false" outlineLevel="0" collapsed="false">
      <c r="A1160" s="0" t="s">
        <v>3016</v>
      </c>
      <c r="B1160" s="4" t="n">
        <v>46033</v>
      </c>
      <c r="C1160" s="0" t="s">
        <v>683</v>
      </c>
      <c r="D1160" s="0" t="n">
        <v>33</v>
      </c>
      <c r="E1160" s="0" t="s">
        <v>3017</v>
      </c>
      <c r="F1160" s="3" t="n">
        <f aca="false">D1160*_xlfn.XLOOKUP(C1160,Item_Master!A:A,Item_Master!G:G)</f>
        <v>26400</v>
      </c>
      <c r="G1160" s="0" t="str">
        <f aca="false">TEXT(B1160,"MMM YYYY")</f>
        <v>Jan 2026</v>
      </c>
    </row>
    <row r="1161" customFormat="false" ht="15" hidden="false" customHeight="false" outlineLevel="0" collapsed="false">
      <c r="A1161" s="0" t="s">
        <v>3018</v>
      </c>
      <c r="B1161" s="4" t="n">
        <v>46034</v>
      </c>
      <c r="C1161" s="0" t="s">
        <v>302</v>
      </c>
      <c r="D1161" s="0" t="n">
        <v>30</v>
      </c>
      <c r="E1161" s="0" t="s">
        <v>3019</v>
      </c>
      <c r="F1161" s="3" t="n">
        <f aca="false">D1161*_xlfn.XLOOKUP(C1161,Item_Master!A:A,Item_Master!G:G)</f>
        <v>310800</v>
      </c>
      <c r="G1161" s="0" t="str">
        <f aca="false">TEXT(B1161,"MMM YYYY")</f>
        <v>Jan 2026</v>
      </c>
    </row>
    <row r="1162" customFormat="false" ht="15" hidden="false" customHeight="false" outlineLevel="0" collapsed="false">
      <c r="A1162" s="0" t="s">
        <v>3020</v>
      </c>
      <c r="B1162" s="4" t="n">
        <v>46034</v>
      </c>
      <c r="C1162" s="0" t="s">
        <v>403</v>
      </c>
      <c r="D1162" s="0" t="n">
        <v>32</v>
      </c>
      <c r="E1162" s="0" t="s">
        <v>3021</v>
      </c>
      <c r="F1162" s="3" t="n">
        <f aca="false">D1162*_xlfn.XLOOKUP(C1162,Item_Master!A:A,Item_Master!G:G)</f>
        <v>125120</v>
      </c>
      <c r="G1162" s="0" t="str">
        <f aca="false">TEXT(B1162,"MMM YYYY")</f>
        <v>Jan 2026</v>
      </c>
    </row>
    <row r="1163" customFormat="false" ht="15" hidden="false" customHeight="false" outlineLevel="0" collapsed="false">
      <c r="A1163" s="0" t="s">
        <v>3022</v>
      </c>
      <c r="B1163" s="4" t="n">
        <v>46034</v>
      </c>
      <c r="C1163" s="0" t="s">
        <v>455</v>
      </c>
      <c r="D1163" s="0" t="n">
        <v>4</v>
      </c>
      <c r="E1163" s="0" t="s">
        <v>3023</v>
      </c>
      <c r="F1163" s="3" t="n">
        <f aca="false">D1163*_xlfn.XLOOKUP(C1163,Item_Master!A:A,Item_Master!G:G)</f>
        <v>480</v>
      </c>
      <c r="G1163" s="0" t="str">
        <f aca="false">TEXT(B1163,"MMM YYYY")</f>
        <v>Jan 2026</v>
      </c>
    </row>
    <row r="1164" customFormat="false" ht="15" hidden="false" customHeight="false" outlineLevel="0" collapsed="false">
      <c r="A1164" s="0" t="s">
        <v>3024</v>
      </c>
      <c r="B1164" s="4" t="n">
        <v>46034</v>
      </c>
      <c r="C1164" s="0" t="s">
        <v>464</v>
      </c>
      <c r="D1164" s="0" t="n">
        <v>15</v>
      </c>
      <c r="E1164" s="0" t="s">
        <v>3025</v>
      </c>
      <c r="F1164" s="3" t="n">
        <f aca="false">D1164*_xlfn.XLOOKUP(C1164,Item_Master!A:A,Item_Master!G:G)</f>
        <v>12300</v>
      </c>
      <c r="G1164" s="0" t="str">
        <f aca="false">TEXT(B1164,"MMM YYYY")</f>
        <v>Jan 2026</v>
      </c>
    </row>
    <row r="1165" customFormat="false" ht="15" hidden="false" customHeight="false" outlineLevel="0" collapsed="false">
      <c r="A1165" s="0" t="s">
        <v>3026</v>
      </c>
      <c r="B1165" s="4" t="n">
        <v>46034</v>
      </c>
      <c r="C1165" s="0" t="s">
        <v>527</v>
      </c>
      <c r="D1165" s="0" t="n">
        <v>9</v>
      </c>
      <c r="E1165" s="0" t="s">
        <v>1986</v>
      </c>
      <c r="F1165" s="3" t="n">
        <f aca="false">D1165*_xlfn.XLOOKUP(C1165,Item_Master!A:A,Item_Master!G:G)</f>
        <v>15480</v>
      </c>
      <c r="G1165" s="0" t="str">
        <f aca="false">TEXT(B1165,"MMM YYYY")</f>
        <v>Jan 2026</v>
      </c>
    </row>
    <row r="1166" customFormat="false" ht="15" hidden="false" customHeight="false" outlineLevel="0" collapsed="false">
      <c r="A1166" s="0" t="s">
        <v>3027</v>
      </c>
      <c r="B1166" s="4" t="n">
        <v>46034</v>
      </c>
      <c r="C1166" s="0" t="s">
        <v>535</v>
      </c>
      <c r="D1166" s="0" t="n">
        <v>1</v>
      </c>
      <c r="E1166" s="0" t="s">
        <v>3028</v>
      </c>
      <c r="F1166" s="3" t="n">
        <f aca="false">D1166*_xlfn.XLOOKUP(C1166,Item_Master!A:A,Item_Master!G:G)</f>
        <v>2420</v>
      </c>
      <c r="G1166" s="0" t="str">
        <f aca="false">TEXT(B1166,"MMM YYYY")</f>
        <v>Jan 2026</v>
      </c>
    </row>
    <row r="1167" customFormat="false" ht="15" hidden="false" customHeight="false" outlineLevel="0" collapsed="false">
      <c r="A1167" s="0" t="s">
        <v>3029</v>
      </c>
      <c r="B1167" s="4" t="n">
        <v>46034</v>
      </c>
      <c r="C1167" s="0" t="s">
        <v>626</v>
      </c>
      <c r="D1167" s="0" t="n">
        <v>11</v>
      </c>
      <c r="E1167" s="0" t="s">
        <v>3030</v>
      </c>
      <c r="F1167" s="3" t="n">
        <f aca="false">D1167*_xlfn.XLOOKUP(C1167,Item_Master!A:A,Item_Master!G:G)</f>
        <v>3630</v>
      </c>
      <c r="G1167" s="0" t="str">
        <f aca="false">TEXT(B1167,"MMM YYYY")</f>
        <v>Jan 2026</v>
      </c>
    </row>
    <row r="1168" customFormat="false" ht="15" hidden="false" customHeight="false" outlineLevel="0" collapsed="false">
      <c r="A1168" s="0" t="s">
        <v>3031</v>
      </c>
      <c r="B1168" s="4" t="n">
        <v>46034</v>
      </c>
      <c r="C1168" s="0" t="s">
        <v>631</v>
      </c>
      <c r="D1168" s="0" t="n">
        <v>33</v>
      </c>
      <c r="E1168" s="0" t="s">
        <v>3032</v>
      </c>
      <c r="F1168" s="3" t="n">
        <f aca="false">D1168*_xlfn.XLOOKUP(C1168,Item_Master!A:A,Item_Master!G:G)</f>
        <v>26730</v>
      </c>
      <c r="G1168" s="0" t="str">
        <f aca="false">TEXT(B1168,"MMM YYYY")</f>
        <v>Jan 2026</v>
      </c>
    </row>
    <row r="1169" customFormat="false" ht="15" hidden="false" customHeight="false" outlineLevel="0" collapsed="false">
      <c r="A1169" s="0" t="s">
        <v>3033</v>
      </c>
      <c r="B1169" s="4" t="n">
        <v>46034</v>
      </c>
      <c r="C1169" s="0" t="s">
        <v>696</v>
      </c>
      <c r="D1169" s="0" t="n">
        <v>38</v>
      </c>
      <c r="E1169" s="0" t="s">
        <v>3034</v>
      </c>
      <c r="F1169" s="3" t="n">
        <f aca="false">D1169*_xlfn.XLOOKUP(C1169,Item_Master!A:A,Item_Master!G:G)</f>
        <v>23560</v>
      </c>
      <c r="G1169" s="0" t="str">
        <f aca="false">TEXT(B1169,"MMM YYYY")</f>
        <v>Jan 2026</v>
      </c>
    </row>
    <row r="1170" customFormat="false" ht="15" hidden="false" customHeight="false" outlineLevel="0" collapsed="false">
      <c r="A1170" s="0" t="s">
        <v>3035</v>
      </c>
      <c r="B1170" s="4" t="n">
        <v>46034</v>
      </c>
      <c r="C1170" s="0" t="s">
        <v>696</v>
      </c>
      <c r="D1170" s="0" t="n">
        <v>11</v>
      </c>
      <c r="E1170" s="0" t="s">
        <v>3036</v>
      </c>
      <c r="F1170" s="3" t="n">
        <f aca="false">D1170*_xlfn.XLOOKUP(C1170,Item_Master!A:A,Item_Master!G:G)</f>
        <v>6820</v>
      </c>
      <c r="G1170" s="0" t="str">
        <f aca="false">TEXT(B1170,"MMM YYYY")</f>
        <v>Jan 2026</v>
      </c>
    </row>
    <row r="1171" customFormat="false" ht="15" hidden="false" customHeight="false" outlineLevel="0" collapsed="false">
      <c r="A1171" s="0" t="s">
        <v>3037</v>
      </c>
      <c r="B1171" s="4" t="n">
        <v>46035</v>
      </c>
      <c r="C1171" s="0" t="s">
        <v>47</v>
      </c>
      <c r="D1171" s="0" t="n">
        <v>34</v>
      </c>
      <c r="E1171" s="0" t="s">
        <v>3038</v>
      </c>
      <c r="F1171" s="3" t="n">
        <f aca="false">D1171*_xlfn.XLOOKUP(C1171,Item_Master!A:A,Item_Master!G:G)</f>
        <v>10200</v>
      </c>
      <c r="G1171" s="0" t="str">
        <f aca="false">TEXT(B1171,"MMM YYYY")</f>
        <v>Jan 2026</v>
      </c>
    </row>
    <row r="1172" customFormat="false" ht="15" hidden="false" customHeight="false" outlineLevel="0" collapsed="false">
      <c r="A1172" s="0" t="s">
        <v>3039</v>
      </c>
      <c r="B1172" s="4" t="n">
        <v>46035</v>
      </c>
      <c r="C1172" s="0" t="s">
        <v>71</v>
      </c>
      <c r="D1172" s="0" t="n">
        <v>27</v>
      </c>
      <c r="E1172" s="0" t="s">
        <v>3040</v>
      </c>
      <c r="F1172" s="3" t="n">
        <f aca="false">D1172*_xlfn.XLOOKUP(C1172,Item_Master!A:A,Item_Master!G:G)</f>
        <v>12690</v>
      </c>
      <c r="G1172" s="0" t="str">
        <f aca="false">TEXT(B1172,"MMM YYYY")</f>
        <v>Jan 2026</v>
      </c>
    </row>
    <row r="1173" customFormat="false" ht="15" hidden="false" customHeight="false" outlineLevel="0" collapsed="false">
      <c r="A1173" s="0" t="s">
        <v>3041</v>
      </c>
      <c r="B1173" s="4" t="n">
        <v>46035</v>
      </c>
      <c r="C1173" s="0" t="s">
        <v>100</v>
      </c>
      <c r="D1173" s="0" t="n">
        <v>1</v>
      </c>
      <c r="E1173" s="0" t="s">
        <v>3042</v>
      </c>
      <c r="F1173" s="3" t="n">
        <f aca="false">D1173*_xlfn.XLOOKUP(C1173,Item_Master!A:A,Item_Master!G:G)</f>
        <v>10110</v>
      </c>
      <c r="G1173" s="0" t="str">
        <f aca="false">TEXT(B1173,"MMM YYYY")</f>
        <v>Jan 2026</v>
      </c>
    </row>
    <row r="1174" customFormat="false" ht="15" hidden="false" customHeight="false" outlineLevel="0" collapsed="false">
      <c r="A1174" s="0" t="s">
        <v>3043</v>
      </c>
      <c r="B1174" s="4" t="n">
        <v>46035</v>
      </c>
      <c r="C1174" s="0" t="s">
        <v>139</v>
      </c>
      <c r="D1174" s="0" t="n">
        <v>15</v>
      </c>
      <c r="E1174" s="0" t="s">
        <v>3044</v>
      </c>
      <c r="F1174" s="3" t="n">
        <f aca="false">D1174*_xlfn.XLOOKUP(C1174,Item_Master!A:A,Item_Master!G:G)</f>
        <v>304800</v>
      </c>
      <c r="G1174" s="0" t="str">
        <f aca="false">TEXT(B1174,"MMM YYYY")</f>
        <v>Jan 2026</v>
      </c>
    </row>
    <row r="1175" customFormat="false" ht="15" hidden="false" customHeight="false" outlineLevel="0" collapsed="false">
      <c r="A1175" s="0" t="s">
        <v>3045</v>
      </c>
      <c r="B1175" s="4" t="n">
        <v>46035</v>
      </c>
      <c r="C1175" s="0" t="s">
        <v>376</v>
      </c>
      <c r="D1175" s="0" t="n">
        <v>1</v>
      </c>
      <c r="E1175" s="0" t="s">
        <v>3046</v>
      </c>
      <c r="F1175" s="3" t="n">
        <f aca="false">D1175*_xlfn.XLOOKUP(C1175,Item_Master!A:A,Item_Master!G:G)</f>
        <v>1390</v>
      </c>
      <c r="G1175" s="0" t="str">
        <f aca="false">TEXT(B1175,"MMM YYYY")</f>
        <v>Jan 2026</v>
      </c>
    </row>
    <row r="1176" customFormat="false" ht="15" hidden="false" customHeight="false" outlineLevel="0" collapsed="false">
      <c r="A1176" s="0" t="s">
        <v>3047</v>
      </c>
      <c r="B1176" s="4" t="n">
        <v>46035</v>
      </c>
      <c r="C1176" s="0" t="s">
        <v>555</v>
      </c>
      <c r="D1176" s="0" t="n">
        <v>32</v>
      </c>
      <c r="E1176" s="0" t="s">
        <v>3048</v>
      </c>
      <c r="F1176" s="3" t="n">
        <f aca="false">D1176*_xlfn.XLOOKUP(C1176,Item_Master!A:A,Item_Master!G:G)</f>
        <v>75840</v>
      </c>
      <c r="G1176" s="0" t="str">
        <f aca="false">TEXT(B1176,"MMM YYYY")</f>
        <v>Jan 2026</v>
      </c>
    </row>
    <row r="1177" customFormat="false" ht="15" hidden="false" customHeight="false" outlineLevel="0" collapsed="false">
      <c r="A1177" s="0" t="s">
        <v>3049</v>
      </c>
      <c r="B1177" s="4" t="n">
        <v>46035</v>
      </c>
      <c r="C1177" s="0" t="s">
        <v>631</v>
      </c>
      <c r="D1177" s="0" t="n">
        <v>3</v>
      </c>
      <c r="E1177" s="0" t="s">
        <v>3050</v>
      </c>
      <c r="F1177" s="3" t="n">
        <f aca="false">D1177*_xlfn.XLOOKUP(C1177,Item_Master!A:A,Item_Master!G:G)</f>
        <v>2430</v>
      </c>
      <c r="G1177" s="0" t="str">
        <f aca="false">TEXT(B1177,"MMM YYYY")</f>
        <v>Jan 2026</v>
      </c>
    </row>
    <row r="1178" customFormat="false" ht="15" hidden="false" customHeight="false" outlineLevel="0" collapsed="false">
      <c r="A1178" s="0" t="s">
        <v>3051</v>
      </c>
      <c r="B1178" s="4" t="n">
        <v>46035</v>
      </c>
      <c r="C1178" s="0" t="s">
        <v>648</v>
      </c>
      <c r="D1178" s="0" t="n">
        <v>2</v>
      </c>
      <c r="E1178" s="0" t="s">
        <v>3052</v>
      </c>
      <c r="F1178" s="3" t="n">
        <f aca="false">D1178*_xlfn.XLOOKUP(C1178,Item_Master!A:A,Item_Master!G:G)</f>
        <v>46500</v>
      </c>
      <c r="G1178" s="0" t="str">
        <f aca="false">TEXT(B1178,"MMM YYYY")</f>
        <v>Jan 2026</v>
      </c>
    </row>
    <row r="1179" customFormat="false" ht="15" hidden="false" customHeight="false" outlineLevel="0" collapsed="false">
      <c r="A1179" s="0" t="s">
        <v>3053</v>
      </c>
      <c r="B1179" s="4" t="n">
        <v>46035</v>
      </c>
      <c r="C1179" s="0" t="s">
        <v>654</v>
      </c>
      <c r="D1179" s="0" t="n">
        <v>6</v>
      </c>
      <c r="E1179" s="0" t="s">
        <v>3054</v>
      </c>
      <c r="F1179" s="3" t="n">
        <f aca="false">D1179*_xlfn.XLOOKUP(C1179,Item_Master!A:A,Item_Master!G:G)</f>
        <v>10800</v>
      </c>
      <c r="G1179" s="0" t="str">
        <f aca="false">TEXT(B1179,"MMM YYYY")</f>
        <v>Jan 2026</v>
      </c>
    </row>
    <row r="1180" customFormat="false" ht="15" hidden="false" customHeight="false" outlineLevel="0" collapsed="false">
      <c r="A1180" s="0" t="s">
        <v>3055</v>
      </c>
      <c r="B1180" s="4" t="n">
        <v>46035</v>
      </c>
      <c r="C1180" s="0" t="s">
        <v>659</v>
      </c>
      <c r="D1180" s="0" t="n">
        <v>15</v>
      </c>
      <c r="E1180" s="0" t="s">
        <v>3056</v>
      </c>
      <c r="F1180" s="3" t="n">
        <f aca="false">D1180*_xlfn.XLOOKUP(C1180,Item_Master!A:A,Item_Master!G:G)</f>
        <v>52050</v>
      </c>
      <c r="G1180" s="0" t="str">
        <f aca="false">TEXT(B1180,"MMM YYYY")</f>
        <v>Jan 2026</v>
      </c>
    </row>
    <row r="1181" customFormat="false" ht="15" hidden="false" customHeight="false" outlineLevel="0" collapsed="false">
      <c r="A1181" s="0" t="s">
        <v>3057</v>
      </c>
      <c r="B1181" s="4" t="n">
        <v>46035</v>
      </c>
      <c r="C1181" s="0" t="s">
        <v>667</v>
      </c>
      <c r="D1181" s="0" t="n">
        <v>2</v>
      </c>
      <c r="E1181" s="0" t="s">
        <v>3058</v>
      </c>
      <c r="F1181" s="3" t="n">
        <f aca="false">D1181*_xlfn.XLOOKUP(C1181,Item_Master!A:A,Item_Master!G:G)</f>
        <v>4100</v>
      </c>
      <c r="G1181" s="0" t="str">
        <f aca="false">TEXT(B1181,"MMM YYYY")</f>
        <v>Jan 2026</v>
      </c>
    </row>
    <row r="1182" customFormat="false" ht="15" hidden="false" customHeight="false" outlineLevel="0" collapsed="false">
      <c r="A1182" s="0" t="s">
        <v>3059</v>
      </c>
      <c r="B1182" s="4" t="n">
        <v>46035</v>
      </c>
      <c r="C1182" s="0" t="s">
        <v>688</v>
      </c>
      <c r="D1182" s="0" t="n">
        <v>1</v>
      </c>
      <c r="E1182" s="0" t="s">
        <v>3060</v>
      </c>
      <c r="F1182" s="3" t="n">
        <f aca="false">D1182*_xlfn.XLOOKUP(C1182,Item_Master!A:A,Item_Master!G:G)</f>
        <v>9740</v>
      </c>
      <c r="G1182" s="0" t="str">
        <f aca="false">TEXT(B1182,"MMM YYYY")</f>
        <v>Jan 2026</v>
      </c>
    </row>
    <row r="1183" customFormat="false" ht="15" hidden="false" customHeight="false" outlineLevel="0" collapsed="false">
      <c r="A1183" s="0" t="s">
        <v>3061</v>
      </c>
      <c r="B1183" s="4" t="n">
        <v>46036</v>
      </c>
      <c r="C1183" s="0" t="s">
        <v>178</v>
      </c>
      <c r="D1183" s="0" t="n">
        <v>30</v>
      </c>
      <c r="E1183" s="0" t="s">
        <v>3062</v>
      </c>
      <c r="F1183" s="3" t="n">
        <f aca="false">D1183*_xlfn.XLOOKUP(C1183,Item_Master!A:A,Item_Master!G:G)</f>
        <v>39300</v>
      </c>
      <c r="G1183" s="0" t="str">
        <f aca="false">TEXT(B1183,"MMM YYYY")</f>
        <v>Jan 2026</v>
      </c>
    </row>
    <row r="1184" customFormat="false" ht="15" hidden="false" customHeight="false" outlineLevel="0" collapsed="false">
      <c r="A1184" s="0" t="s">
        <v>3063</v>
      </c>
      <c r="B1184" s="4" t="n">
        <v>46036</v>
      </c>
      <c r="C1184" s="0" t="s">
        <v>180</v>
      </c>
      <c r="D1184" s="0" t="n">
        <v>2</v>
      </c>
      <c r="E1184" s="0" t="s">
        <v>3064</v>
      </c>
      <c r="F1184" s="3" t="n">
        <f aca="false">D1184*_xlfn.XLOOKUP(C1184,Item_Master!A:A,Item_Master!G:G)</f>
        <v>19120</v>
      </c>
      <c r="G1184" s="0" t="str">
        <f aca="false">TEXT(B1184,"MMM YYYY")</f>
        <v>Jan 2026</v>
      </c>
    </row>
    <row r="1185" customFormat="false" ht="15" hidden="false" customHeight="false" outlineLevel="0" collapsed="false">
      <c r="A1185" s="0" t="s">
        <v>3065</v>
      </c>
      <c r="B1185" s="4" t="n">
        <v>46036</v>
      </c>
      <c r="C1185" s="0" t="s">
        <v>277</v>
      </c>
      <c r="D1185" s="0" t="n">
        <v>28</v>
      </c>
      <c r="E1185" s="0" t="s">
        <v>3066</v>
      </c>
      <c r="F1185" s="3" t="n">
        <f aca="false">D1185*_xlfn.XLOOKUP(C1185,Item_Master!A:A,Item_Master!G:G)</f>
        <v>54880</v>
      </c>
      <c r="G1185" s="0" t="str">
        <f aca="false">TEXT(B1185,"MMM YYYY")</f>
        <v>Jan 2026</v>
      </c>
    </row>
    <row r="1186" customFormat="false" ht="15" hidden="false" customHeight="false" outlineLevel="0" collapsed="false">
      <c r="A1186" s="0" t="s">
        <v>3067</v>
      </c>
      <c r="B1186" s="4" t="n">
        <v>46036</v>
      </c>
      <c r="C1186" s="0" t="s">
        <v>334</v>
      </c>
      <c r="D1186" s="0" t="n">
        <v>20</v>
      </c>
      <c r="E1186" s="0" t="s">
        <v>3068</v>
      </c>
      <c r="F1186" s="3" t="n">
        <f aca="false">D1186*_xlfn.XLOOKUP(C1186,Item_Master!A:A,Item_Master!G:G)</f>
        <v>8800</v>
      </c>
      <c r="G1186" s="0" t="str">
        <f aca="false">TEXT(B1186,"MMM YYYY")</f>
        <v>Jan 2026</v>
      </c>
    </row>
    <row r="1187" customFormat="false" ht="15" hidden="false" customHeight="false" outlineLevel="0" collapsed="false">
      <c r="A1187" s="0" t="s">
        <v>3069</v>
      </c>
      <c r="B1187" s="4" t="n">
        <v>46036</v>
      </c>
      <c r="C1187" s="0" t="s">
        <v>545</v>
      </c>
      <c r="D1187" s="0" t="n">
        <v>12</v>
      </c>
      <c r="E1187" s="0" t="s">
        <v>3070</v>
      </c>
      <c r="F1187" s="3" t="n">
        <f aca="false">D1187*_xlfn.XLOOKUP(C1187,Item_Master!A:A,Item_Master!G:G)</f>
        <v>16440</v>
      </c>
      <c r="G1187" s="0" t="str">
        <f aca="false">TEXT(B1187,"MMM YYYY")</f>
        <v>Jan 2026</v>
      </c>
    </row>
    <row r="1188" customFormat="false" ht="15" hidden="false" customHeight="false" outlineLevel="0" collapsed="false">
      <c r="A1188" s="0" t="s">
        <v>3071</v>
      </c>
      <c r="B1188" s="4" t="n">
        <v>46036</v>
      </c>
      <c r="C1188" s="0" t="s">
        <v>564</v>
      </c>
      <c r="D1188" s="0" t="n">
        <v>12</v>
      </c>
      <c r="E1188" s="0" t="s">
        <v>3072</v>
      </c>
      <c r="F1188" s="3" t="n">
        <f aca="false">D1188*_xlfn.XLOOKUP(C1188,Item_Master!A:A,Item_Master!G:G)</f>
        <v>12120</v>
      </c>
      <c r="G1188" s="0" t="str">
        <f aca="false">TEXT(B1188,"MMM YYYY")</f>
        <v>Jan 2026</v>
      </c>
    </row>
    <row r="1189" customFormat="false" ht="15" hidden="false" customHeight="false" outlineLevel="0" collapsed="false">
      <c r="A1189" s="0" t="s">
        <v>3073</v>
      </c>
      <c r="B1189" s="4" t="n">
        <v>46036</v>
      </c>
      <c r="C1189" s="0" t="s">
        <v>669</v>
      </c>
      <c r="D1189" s="0" t="n">
        <v>30</v>
      </c>
      <c r="E1189" s="0" t="s">
        <v>3074</v>
      </c>
      <c r="F1189" s="3" t="n">
        <f aca="false">D1189*_xlfn.XLOOKUP(C1189,Item_Master!A:A,Item_Master!G:G)</f>
        <v>71100</v>
      </c>
      <c r="G1189" s="0" t="str">
        <f aca="false">TEXT(B1189,"MMM YYYY")</f>
        <v>Jan 2026</v>
      </c>
    </row>
    <row r="1190" customFormat="false" ht="15" hidden="false" customHeight="false" outlineLevel="0" collapsed="false">
      <c r="A1190" s="0" t="s">
        <v>3075</v>
      </c>
      <c r="B1190" s="4" t="n">
        <v>46036</v>
      </c>
      <c r="C1190" s="0" t="s">
        <v>669</v>
      </c>
      <c r="D1190" s="0" t="n">
        <v>14</v>
      </c>
      <c r="E1190" s="0" t="s">
        <v>3076</v>
      </c>
      <c r="F1190" s="3" t="n">
        <f aca="false">D1190*_xlfn.XLOOKUP(C1190,Item_Master!A:A,Item_Master!G:G)</f>
        <v>33180</v>
      </c>
      <c r="G1190" s="0" t="str">
        <f aca="false">TEXT(B1190,"MMM YYYY")</f>
        <v>Jan 2026</v>
      </c>
    </row>
    <row r="1191" customFormat="false" ht="15" hidden="false" customHeight="false" outlineLevel="0" collapsed="false">
      <c r="A1191" s="0" t="s">
        <v>3077</v>
      </c>
      <c r="B1191" s="4" t="n">
        <v>46037</v>
      </c>
      <c r="C1191" s="0" t="s">
        <v>47</v>
      </c>
      <c r="D1191" s="0" t="n">
        <v>13</v>
      </c>
      <c r="E1191" s="0" t="s">
        <v>3078</v>
      </c>
      <c r="F1191" s="3" t="n">
        <f aca="false">D1191*_xlfn.XLOOKUP(C1191,Item_Master!A:A,Item_Master!G:G)</f>
        <v>3900</v>
      </c>
      <c r="G1191" s="0" t="str">
        <f aca="false">TEXT(B1191,"MMM YYYY")</f>
        <v>Jan 2026</v>
      </c>
    </row>
    <row r="1192" customFormat="false" ht="15" hidden="false" customHeight="false" outlineLevel="0" collapsed="false">
      <c r="A1192" s="0" t="s">
        <v>3079</v>
      </c>
      <c r="B1192" s="4" t="n">
        <v>46037</v>
      </c>
      <c r="C1192" s="0" t="s">
        <v>47</v>
      </c>
      <c r="D1192" s="0" t="n">
        <v>39</v>
      </c>
      <c r="E1192" s="0" t="s">
        <v>3080</v>
      </c>
      <c r="F1192" s="3" t="n">
        <f aca="false">D1192*_xlfn.XLOOKUP(C1192,Item_Master!A:A,Item_Master!G:G)</f>
        <v>11700</v>
      </c>
      <c r="G1192" s="0" t="str">
        <f aca="false">TEXT(B1192,"MMM YYYY")</f>
        <v>Jan 2026</v>
      </c>
    </row>
    <row r="1193" customFormat="false" ht="15" hidden="false" customHeight="false" outlineLevel="0" collapsed="false">
      <c r="A1193" s="0" t="s">
        <v>3081</v>
      </c>
      <c r="B1193" s="4" t="n">
        <v>46037</v>
      </c>
      <c r="C1193" s="0" t="s">
        <v>58</v>
      </c>
      <c r="D1193" s="0" t="n">
        <v>14</v>
      </c>
      <c r="E1193" s="0" t="s">
        <v>3082</v>
      </c>
      <c r="F1193" s="3" t="n">
        <f aca="false">D1193*_xlfn.XLOOKUP(C1193,Item_Master!A:A,Item_Master!G:G)</f>
        <v>14140</v>
      </c>
      <c r="G1193" s="0" t="str">
        <f aca="false">TEXT(B1193,"MMM YYYY")</f>
        <v>Jan 2026</v>
      </c>
    </row>
    <row r="1194" customFormat="false" ht="15" hidden="false" customHeight="false" outlineLevel="0" collapsed="false">
      <c r="A1194" s="0" t="s">
        <v>3083</v>
      </c>
      <c r="B1194" s="4" t="n">
        <v>46037</v>
      </c>
      <c r="C1194" s="0" t="s">
        <v>212</v>
      </c>
      <c r="D1194" s="0" t="n">
        <v>8</v>
      </c>
      <c r="E1194" s="0" t="s">
        <v>3084</v>
      </c>
      <c r="F1194" s="3" t="n">
        <f aca="false">D1194*_xlfn.XLOOKUP(C1194,Item_Master!A:A,Item_Master!G:G)</f>
        <v>34080</v>
      </c>
      <c r="G1194" s="0" t="str">
        <f aca="false">TEXT(B1194,"MMM YYYY")</f>
        <v>Jan 2026</v>
      </c>
    </row>
    <row r="1195" customFormat="false" ht="15" hidden="false" customHeight="false" outlineLevel="0" collapsed="false">
      <c r="A1195" s="0" t="s">
        <v>3085</v>
      </c>
      <c r="B1195" s="4" t="n">
        <v>46037</v>
      </c>
      <c r="C1195" s="0" t="s">
        <v>361</v>
      </c>
      <c r="D1195" s="0" t="n">
        <v>17</v>
      </c>
      <c r="E1195" s="0" t="s">
        <v>3086</v>
      </c>
      <c r="F1195" s="3" t="n">
        <f aca="false">D1195*_xlfn.XLOOKUP(C1195,Item_Master!A:A,Item_Master!G:G)</f>
        <v>42500</v>
      </c>
      <c r="G1195" s="0" t="str">
        <f aca="false">TEXT(B1195,"MMM YYYY")</f>
        <v>Jan 2026</v>
      </c>
    </row>
    <row r="1196" customFormat="false" ht="15" hidden="false" customHeight="false" outlineLevel="0" collapsed="false">
      <c r="A1196" s="0" t="s">
        <v>3087</v>
      </c>
      <c r="B1196" s="4" t="n">
        <v>46037</v>
      </c>
      <c r="C1196" s="0" t="s">
        <v>386</v>
      </c>
      <c r="D1196" s="0" t="n">
        <v>38</v>
      </c>
      <c r="E1196" s="0" t="s">
        <v>3088</v>
      </c>
      <c r="F1196" s="3" t="n">
        <f aca="false">D1196*_xlfn.XLOOKUP(C1196,Item_Master!A:A,Item_Master!G:G)</f>
        <v>104120</v>
      </c>
      <c r="G1196" s="0" t="str">
        <f aca="false">TEXT(B1196,"MMM YYYY")</f>
        <v>Jan 2026</v>
      </c>
    </row>
    <row r="1197" customFormat="false" ht="15" hidden="false" customHeight="false" outlineLevel="0" collapsed="false">
      <c r="A1197" s="0" t="s">
        <v>3089</v>
      </c>
      <c r="B1197" s="4" t="n">
        <v>46037</v>
      </c>
      <c r="C1197" s="0" t="s">
        <v>523</v>
      </c>
      <c r="D1197" s="0" t="n">
        <v>7</v>
      </c>
      <c r="E1197" s="0" t="s">
        <v>3090</v>
      </c>
      <c r="F1197" s="3" t="n">
        <f aca="false">D1197*_xlfn.XLOOKUP(C1197,Item_Master!A:A,Item_Master!G:G)</f>
        <v>20790</v>
      </c>
      <c r="G1197" s="0" t="str">
        <f aca="false">TEXT(B1197,"MMM YYYY")</f>
        <v>Jan 2026</v>
      </c>
    </row>
    <row r="1198" customFormat="false" ht="15" hidden="false" customHeight="false" outlineLevel="0" collapsed="false">
      <c r="A1198" s="0" t="s">
        <v>3091</v>
      </c>
      <c r="B1198" s="4" t="n">
        <v>46037</v>
      </c>
      <c r="C1198" s="0" t="s">
        <v>637</v>
      </c>
      <c r="D1198" s="0" t="n">
        <v>30</v>
      </c>
      <c r="E1198" s="0" t="s">
        <v>3092</v>
      </c>
      <c r="F1198" s="3" t="n">
        <f aca="false">D1198*_xlfn.XLOOKUP(C1198,Item_Master!A:A,Item_Master!G:G)</f>
        <v>15300</v>
      </c>
      <c r="G1198" s="0" t="str">
        <f aca="false">TEXT(B1198,"MMM YYYY")</f>
        <v>Jan 2026</v>
      </c>
    </row>
    <row r="1199" customFormat="false" ht="15" hidden="false" customHeight="false" outlineLevel="0" collapsed="false">
      <c r="A1199" s="0" t="s">
        <v>3093</v>
      </c>
      <c r="B1199" s="4" t="n">
        <v>46037</v>
      </c>
      <c r="C1199" s="0" t="s">
        <v>679</v>
      </c>
      <c r="D1199" s="0" t="n">
        <v>8</v>
      </c>
      <c r="E1199" s="0" t="s">
        <v>3094</v>
      </c>
      <c r="F1199" s="3" t="n">
        <f aca="false">D1199*_xlfn.XLOOKUP(C1199,Item_Master!A:A,Item_Master!G:G)</f>
        <v>22000</v>
      </c>
      <c r="G1199" s="0" t="str">
        <f aca="false">TEXT(B1199,"MMM YYYY")</f>
        <v>Jan 2026</v>
      </c>
    </row>
    <row r="1200" customFormat="false" ht="15" hidden="false" customHeight="false" outlineLevel="0" collapsed="false">
      <c r="A1200" s="0" t="s">
        <v>3095</v>
      </c>
      <c r="B1200" s="4" t="n">
        <v>46037</v>
      </c>
      <c r="C1200" s="0" t="s">
        <v>702</v>
      </c>
      <c r="D1200" s="0" t="n">
        <v>37</v>
      </c>
      <c r="E1200" s="0" t="s">
        <v>3096</v>
      </c>
      <c r="F1200" s="3" t="n">
        <f aca="false">D1200*_xlfn.XLOOKUP(C1200,Item_Master!A:A,Item_Master!G:G)</f>
        <v>85470</v>
      </c>
      <c r="G1200" s="0" t="str">
        <f aca="false">TEXT(B1200,"MMM YYYY")</f>
        <v>Jan 2026</v>
      </c>
    </row>
    <row r="1201" customFormat="false" ht="15" hidden="false" customHeight="false" outlineLevel="0" collapsed="false">
      <c r="A1201" s="0" t="s">
        <v>3097</v>
      </c>
      <c r="B1201" s="4" t="n">
        <v>46038</v>
      </c>
      <c r="C1201" s="0" t="s">
        <v>95</v>
      </c>
      <c r="D1201" s="0" t="n">
        <v>33</v>
      </c>
      <c r="E1201" s="0" t="s">
        <v>3098</v>
      </c>
      <c r="F1201" s="3" t="n">
        <f aca="false">D1201*_xlfn.XLOOKUP(C1201,Item_Master!A:A,Item_Master!G:G)</f>
        <v>120120</v>
      </c>
      <c r="G1201" s="0" t="str">
        <f aca="false">TEXT(B1201,"MMM YYYY")</f>
        <v>Jan 2026</v>
      </c>
    </row>
    <row r="1202" customFormat="false" ht="15" hidden="false" customHeight="false" outlineLevel="0" collapsed="false">
      <c r="A1202" s="0" t="s">
        <v>3099</v>
      </c>
      <c r="B1202" s="4" t="n">
        <v>46038</v>
      </c>
      <c r="C1202" s="0" t="s">
        <v>185</v>
      </c>
      <c r="D1202" s="0" t="n">
        <v>12</v>
      </c>
      <c r="E1202" s="0" t="s">
        <v>3100</v>
      </c>
      <c r="F1202" s="3" t="n">
        <f aca="false">D1202*_xlfn.XLOOKUP(C1202,Item_Master!A:A,Item_Master!G:G)</f>
        <v>22680</v>
      </c>
      <c r="G1202" s="0" t="str">
        <f aca="false">TEXT(B1202,"MMM YYYY")</f>
        <v>Jan 2026</v>
      </c>
    </row>
    <row r="1203" customFormat="false" ht="15" hidden="false" customHeight="false" outlineLevel="0" collapsed="false">
      <c r="A1203" s="0" t="s">
        <v>3101</v>
      </c>
      <c r="B1203" s="4" t="n">
        <v>46038</v>
      </c>
      <c r="C1203" s="0" t="s">
        <v>227</v>
      </c>
      <c r="D1203" s="0" t="n">
        <v>25</v>
      </c>
      <c r="E1203" s="0" t="s">
        <v>3102</v>
      </c>
      <c r="F1203" s="3" t="n">
        <f aca="false">D1203*_xlfn.XLOOKUP(C1203,Item_Master!A:A,Item_Master!G:G)</f>
        <v>667000</v>
      </c>
      <c r="G1203" s="0" t="str">
        <f aca="false">TEXT(B1203,"MMM YYYY")</f>
        <v>Jan 2026</v>
      </c>
    </row>
    <row r="1204" customFormat="false" ht="15" hidden="false" customHeight="false" outlineLevel="0" collapsed="false">
      <c r="A1204" s="0" t="s">
        <v>3103</v>
      </c>
      <c r="B1204" s="4" t="n">
        <v>46038</v>
      </c>
      <c r="C1204" s="0" t="s">
        <v>243</v>
      </c>
      <c r="D1204" s="0" t="n">
        <v>3</v>
      </c>
      <c r="E1204" s="0" t="s">
        <v>3104</v>
      </c>
      <c r="F1204" s="3" t="n">
        <f aca="false">D1204*_xlfn.XLOOKUP(C1204,Item_Master!A:A,Item_Master!G:G)</f>
        <v>3510</v>
      </c>
      <c r="G1204" s="0" t="str">
        <f aca="false">TEXT(B1204,"MMM YYYY")</f>
        <v>Jan 2026</v>
      </c>
    </row>
    <row r="1205" customFormat="false" ht="15" hidden="false" customHeight="false" outlineLevel="0" collapsed="false">
      <c r="A1205" s="0" t="s">
        <v>3105</v>
      </c>
      <c r="B1205" s="4" t="n">
        <v>46038</v>
      </c>
      <c r="C1205" s="0" t="s">
        <v>255</v>
      </c>
      <c r="D1205" s="0" t="n">
        <v>12</v>
      </c>
      <c r="E1205" s="0" t="s">
        <v>3106</v>
      </c>
      <c r="F1205" s="3" t="n">
        <f aca="false">D1205*_xlfn.XLOOKUP(C1205,Item_Master!A:A,Item_Master!G:G)</f>
        <v>187800</v>
      </c>
      <c r="G1205" s="0" t="str">
        <f aca="false">TEXT(B1205,"MMM YYYY")</f>
        <v>Jan 2026</v>
      </c>
    </row>
    <row r="1206" customFormat="false" ht="15" hidden="false" customHeight="false" outlineLevel="0" collapsed="false">
      <c r="A1206" s="0" t="s">
        <v>3107</v>
      </c>
      <c r="B1206" s="4" t="n">
        <v>46038</v>
      </c>
      <c r="C1206" s="0" t="s">
        <v>322</v>
      </c>
      <c r="D1206" s="0" t="n">
        <v>4</v>
      </c>
      <c r="E1206" s="0" t="s">
        <v>3108</v>
      </c>
      <c r="F1206" s="3" t="n">
        <f aca="false">D1206*_xlfn.XLOOKUP(C1206,Item_Master!A:A,Item_Master!G:G)</f>
        <v>8760</v>
      </c>
      <c r="G1206" s="0" t="str">
        <f aca="false">TEXT(B1206,"MMM YYYY")</f>
        <v>Jan 2026</v>
      </c>
    </row>
    <row r="1207" customFormat="false" ht="15" hidden="false" customHeight="false" outlineLevel="0" collapsed="false">
      <c r="A1207" s="0" t="s">
        <v>3109</v>
      </c>
      <c r="B1207" s="4" t="n">
        <v>46038</v>
      </c>
      <c r="C1207" s="0" t="s">
        <v>413</v>
      </c>
      <c r="D1207" s="0" t="n">
        <v>17</v>
      </c>
      <c r="E1207" s="0" t="s">
        <v>3110</v>
      </c>
      <c r="F1207" s="3" t="n">
        <f aca="false">D1207*_xlfn.XLOOKUP(C1207,Item_Master!A:A,Item_Master!G:G)</f>
        <v>20230</v>
      </c>
      <c r="G1207" s="0" t="str">
        <f aca="false">TEXT(B1207,"MMM YYYY")</f>
        <v>Jan 2026</v>
      </c>
    </row>
    <row r="1208" customFormat="false" ht="15" hidden="false" customHeight="false" outlineLevel="0" collapsed="false">
      <c r="A1208" s="0" t="s">
        <v>3111</v>
      </c>
      <c r="B1208" s="4" t="n">
        <v>46038</v>
      </c>
      <c r="C1208" s="0" t="s">
        <v>448</v>
      </c>
      <c r="D1208" s="0" t="n">
        <v>13</v>
      </c>
      <c r="E1208" s="0" t="s">
        <v>3112</v>
      </c>
      <c r="F1208" s="3" t="n">
        <f aca="false">D1208*_xlfn.XLOOKUP(C1208,Item_Master!A:A,Item_Master!G:G)</f>
        <v>4420</v>
      </c>
      <c r="G1208" s="0" t="str">
        <f aca="false">TEXT(B1208,"MMM YYYY")</f>
        <v>Jan 2026</v>
      </c>
    </row>
    <row r="1209" customFormat="false" ht="15" hidden="false" customHeight="false" outlineLevel="0" collapsed="false">
      <c r="A1209" s="0" t="s">
        <v>3113</v>
      </c>
      <c r="B1209" s="4" t="n">
        <v>46038</v>
      </c>
      <c r="C1209" s="0" t="s">
        <v>496</v>
      </c>
      <c r="D1209" s="0" t="n">
        <v>32</v>
      </c>
      <c r="E1209" s="0" t="s">
        <v>3114</v>
      </c>
      <c r="F1209" s="3" t="n">
        <f aca="false">D1209*_xlfn.XLOOKUP(C1209,Item_Master!A:A,Item_Master!G:G)</f>
        <v>16320</v>
      </c>
      <c r="G1209" s="0" t="str">
        <f aca="false">TEXT(B1209,"MMM YYYY")</f>
        <v>Jan 2026</v>
      </c>
    </row>
    <row r="1210" customFormat="false" ht="15" hidden="false" customHeight="false" outlineLevel="0" collapsed="false">
      <c r="A1210" s="0" t="s">
        <v>3115</v>
      </c>
      <c r="B1210" s="4" t="n">
        <v>46038</v>
      </c>
      <c r="C1210" s="0" t="s">
        <v>529</v>
      </c>
      <c r="D1210" s="0" t="n">
        <v>7</v>
      </c>
      <c r="E1210" s="0" t="s">
        <v>3116</v>
      </c>
      <c r="F1210" s="3" t="n">
        <f aca="false">D1210*_xlfn.XLOOKUP(C1210,Item_Master!A:A,Item_Master!G:G)</f>
        <v>82320</v>
      </c>
      <c r="G1210" s="0" t="str">
        <f aca="false">TEXT(B1210,"MMM YYYY")</f>
        <v>Jan 2026</v>
      </c>
    </row>
    <row r="1211" customFormat="false" ht="15" hidden="false" customHeight="false" outlineLevel="0" collapsed="false">
      <c r="A1211" s="0" t="s">
        <v>3117</v>
      </c>
      <c r="B1211" s="4" t="n">
        <v>46039</v>
      </c>
      <c r="C1211" s="0" t="s">
        <v>77</v>
      </c>
      <c r="D1211" s="0" t="n">
        <v>37</v>
      </c>
      <c r="E1211" s="0" t="s">
        <v>3118</v>
      </c>
      <c r="F1211" s="3" t="n">
        <f aca="false">D1211*_xlfn.XLOOKUP(C1211,Item_Master!A:A,Item_Master!G:G)</f>
        <v>35150</v>
      </c>
      <c r="G1211" s="0" t="str">
        <f aca="false">TEXT(B1211,"MMM YYYY")</f>
        <v>Jan 2026</v>
      </c>
    </row>
    <row r="1212" customFormat="false" ht="15" hidden="false" customHeight="false" outlineLevel="0" collapsed="false">
      <c r="A1212" s="0" t="s">
        <v>3119</v>
      </c>
      <c r="B1212" s="4" t="n">
        <v>46039</v>
      </c>
      <c r="C1212" s="0" t="s">
        <v>110</v>
      </c>
      <c r="D1212" s="0" t="n">
        <v>20</v>
      </c>
      <c r="E1212" s="0" t="s">
        <v>3120</v>
      </c>
      <c r="F1212" s="3" t="n">
        <f aca="false">D1212*_xlfn.XLOOKUP(C1212,Item_Master!A:A,Item_Master!G:G)</f>
        <v>19200</v>
      </c>
      <c r="G1212" s="0" t="str">
        <f aca="false">TEXT(B1212,"MMM YYYY")</f>
        <v>Jan 2026</v>
      </c>
    </row>
    <row r="1213" customFormat="false" ht="15" hidden="false" customHeight="false" outlineLevel="0" collapsed="false">
      <c r="A1213" s="0" t="s">
        <v>3121</v>
      </c>
      <c r="B1213" s="4" t="n">
        <v>46039</v>
      </c>
      <c r="C1213" s="0" t="s">
        <v>114</v>
      </c>
      <c r="D1213" s="0" t="n">
        <v>34</v>
      </c>
      <c r="E1213" s="0" t="s">
        <v>3122</v>
      </c>
      <c r="F1213" s="3" t="n">
        <f aca="false">D1213*_xlfn.XLOOKUP(C1213,Item_Master!A:A,Item_Master!G:G)</f>
        <v>20060</v>
      </c>
      <c r="G1213" s="0" t="str">
        <f aca="false">TEXT(B1213,"MMM YYYY")</f>
        <v>Jan 2026</v>
      </c>
    </row>
    <row r="1214" customFormat="false" ht="15" hidden="false" customHeight="false" outlineLevel="0" collapsed="false">
      <c r="A1214" s="0" t="s">
        <v>3123</v>
      </c>
      <c r="B1214" s="4" t="n">
        <v>46039</v>
      </c>
      <c r="C1214" s="0" t="s">
        <v>169</v>
      </c>
      <c r="D1214" s="0" t="n">
        <v>7</v>
      </c>
      <c r="E1214" s="0" t="s">
        <v>3124</v>
      </c>
      <c r="F1214" s="3" t="n">
        <f aca="false">D1214*_xlfn.XLOOKUP(C1214,Item_Master!A:A,Item_Master!G:G)</f>
        <v>28840</v>
      </c>
      <c r="G1214" s="0" t="str">
        <f aca="false">TEXT(B1214,"MMM YYYY")</f>
        <v>Jan 2026</v>
      </c>
    </row>
    <row r="1215" customFormat="false" ht="15" hidden="false" customHeight="false" outlineLevel="0" collapsed="false">
      <c r="A1215" s="0" t="s">
        <v>3125</v>
      </c>
      <c r="B1215" s="4" t="n">
        <v>46039</v>
      </c>
      <c r="C1215" s="0" t="s">
        <v>183</v>
      </c>
      <c r="D1215" s="0" t="n">
        <v>21</v>
      </c>
      <c r="E1215" s="0" t="s">
        <v>3126</v>
      </c>
      <c r="F1215" s="3" t="n">
        <f aca="false">D1215*_xlfn.XLOOKUP(C1215,Item_Master!A:A,Item_Master!G:G)</f>
        <v>45360</v>
      </c>
      <c r="G1215" s="0" t="str">
        <f aca="false">TEXT(B1215,"MMM YYYY")</f>
        <v>Jan 2026</v>
      </c>
    </row>
    <row r="1216" customFormat="false" ht="15" hidden="false" customHeight="false" outlineLevel="0" collapsed="false">
      <c r="A1216" s="0" t="s">
        <v>3127</v>
      </c>
      <c r="B1216" s="4" t="n">
        <v>46039</v>
      </c>
      <c r="C1216" s="0" t="s">
        <v>260</v>
      </c>
      <c r="D1216" s="0" t="n">
        <v>17</v>
      </c>
      <c r="E1216" s="0" t="s">
        <v>3128</v>
      </c>
      <c r="F1216" s="3" t="n">
        <f aca="false">D1216*_xlfn.XLOOKUP(C1216,Item_Master!A:A,Item_Master!G:G)</f>
        <v>285260</v>
      </c>
      <c r="G1216" s="0" t="str">
        <f aca="false">TEXT(B1216,"MMM YYYY")</f>
        <v>Jan 2026</v>
      </c>
    </row>
    <row r="1217" customFormat="false" ht="15" hidden="false" customHeight="false" outlineLevel="0" collapsed="false">
      <c r="A1217" s="0" t="s">
        <v>3129</v>
      </c>
      <c r="B1217" s="4" t="n">
        <v>46039</v>
      </c>
      <c r="C1217" s="0" t="s">
        <v>277</v>
      </c>
      <c r="D1217" s="0" t="n">
        <v>23</v>
      </c>
      <c r="E1217" s="0" t="s">
        <v>3130</v>
      </c>
      <c r="F1217" s="3" t="n">
        <f aca="false">D1217*_xlfn.XLOOKUP(C1217,Item_Master!A:A,Item_Master!G:G)</f>
        <v>45080</v>
      </c>
      <c r="G1217" s="0" t="str">
        <f aca="false">TEXT(B1217,"MMM YYYY")</f>
        <v>Jan 2026</v>
      </c>
    </row>
    <row r="1218" customFormat="false" ht="15" hidden="false" customHeight="false" outlineLevel="0" collapsed="false">
      <c r="A1218" s="0" t="s">
        <v>3131</v>
      </c>
      <c r="B1218" s="4" t="n">
        <v>46039</v>
      </c>
      <c r="C1218" s="0" t="s">
        <v>366</v>
      </c>
      <c r="D1218" s="0" t="n">
        <v>1</v>
      </c>
      <c r="E1218" s="0" t="s">
        <v>3132</v>
      </c>
      <c r="F1218" s="3" t="n">
        <f aca="false">D1218*_xlfn.XLOOKUP(C1218,Item_Master!A:A,Item_Master!G:G)</f>
        <v>2730</v>
      </c>
      <c r="G1218" s="0" t="str">
        <f aca="false">TEXT(B1218,"MMM YYYY")</f>
        <v>Jan 2026</v>
      </c>
    </row>
    <row r="1219" customFormat="false" ht="15" hidden="false" customHeight="false" outlineLevel="0" collapsed="false">
      <c r="A1219" s="0" t="s">
        <v>3133</v>
      </c>
      <c r="B1219" s="4" t="n">
        <v>46039</v>
      </c>
      <c r="C1219" s="0" t="s">
        <v>421</v>
      </c>
      <c r="D1219" s="0" t="n">
        <v>2</v>
      </c>
      <c r="E1219" s="0" t="s">
        <v>3134</v>
      </c>
      <c r="F1219" s="3" t="n">
        <f aca="false">D1219*_xlfn.XLOOKUP(C1219,Item_Master!A:A,Item_Master!G:G)</f>
        <v>340</v>
      </c>
      <c r="G1219" s="0" t="str">
        <f aca="false">TEXT(B1219,"MMM YYYY")</f>
        <v>Jan 2026</v>
      </c>
    </row>
    <row r="1220" customFormat="false" ht="15" hidden="false" customHeight="false" outlineLevel="0" collapsed="false">
      <c r="A1220" s="0" t="s">
        <v>3135</v>
      </c>
      <c r="B1220" s="4" t="n">
        <v>46039</v>
      </c>
      <c r="C1220" s="0" t="s">
        <v>426</v>
      </c>
      <c r="D1220" s="0" t="n">
        <v>28</v>
      </c>
      <c r="E1220" s="0" t="s">
        <v>3136</v>
      </c>
      <c r="F1220" s="3" t="n">
        <f aca="false">D1220*_xlfn.XLOOKUP(C1220,Item_Master!A:A,Item_Master!G:G)</f>
        <v>74760</v>
      </c>
      <c r="G1220" s="0" t="str">
        <f aca="false">TEXT(B1220,"MMM YYYY")</f>
        <v>Jan 2026</v>
      </c>
    </row>
    <row r="1221" customFormat="false" ht="15" hidden="false" customHeight="false" outlineLevel="0" collapsed="false">
      <c r="A1221" s="0" t="s">
        <v>3137</v>
      </c>
      <c r="B1221" s="4" t="n">
        <v>46039</v>
      </c>
      <c r="C1221" s="0" t="s">
        <v>469</v>
      </c>
      <c r="D1221" s="0" t="n">
        <v>30</v>
      </c>
      <c r="E1221" s="0" t="s">
        <v>3138</v>
      </c>
      <c r="F1221" s="3" t="n">
        <f aca="false">D1221*_xlfn.XLOOKUP(C1221,Item_Master!A:A,Item_Master!G:G)</f>
        <v>124800</v>
      </c>
      <c r="G1221" s="0" t="str">
        <f aca="false">TEXT(B1221,"MMM YYYY")</f>
        <v>Jan 2026</v>
      </c>
    </row>
    <row r="1222" customFormat="false" ht="15" hidden="false" customHeight="false" outlineLevel="0" collapsed="false">
      <c r="A1222" s="0" t="s">
        <v>3139</v>
      </c>
      <c r="B1222" s="4" t="n">
        <v>46039</v>
      </c>
      <c r="C1222" s="0" t="s">
        <v>543</v>
      </c>
      <c r="D1222" s="0" t="n">
        <v>25</v>
      </c>
      <c r="E1222" s="0" t="s">
        <v>3140</v>
      </c>
      <c r="F1222" s="3" t="n">
        <f aca="false">D1222*_xlfn.XLOOKUP(C1222,Item_Master!A:A,Item_Master!G:G)</f>
        <v>63750</v>
      </c>
      <c r="G1222" s="0" t="str">
        <f aca="false">TEXT(B1222,"MMM YYYY")</f>
        <v>Jan 2026</v>
      </c>
    </row>
    <row r="1223" customFormat="false" ht="15" hidden="false" customHeight="false" outlineLevel="0" collapsed="false">
      <c r="A1223" s="0" t="s">
        <v>3141</v>
      </c>
      <c r="B1223" s="4" t="n">
        <v>46039</v>
      </c>
      <c r="C1223" s="0" t="s">
        <v>601</v>
      </c>
      <c r="D1223" s="0" t="n">
        <v>22</v>
      </c>
      <c r="E1223" s="0" t="s">
        <v>3142</v>
      </c>
      <c r="F1223" s="3" t="n">
        <f aca="false">D1223*_xlfn.XLOOKUP(C1223,Item_Master!A:A,Item_Master!G:G)</f>
        <v>49280</v>
      </c>
      <c r="G1223" s="0" t="str">
        <f aca="false">TEXT(B1223,"MMM YYYY")</f>
        <v>Jan 2026</v>
      </c>
    </row>
    <row r="1224" customFormat="false" ht="15" hidden="false" customHeight="false" outlineLevel="0" collapsed="false">
      <c r="A1224" s="0" t="s">
        <v>3143</v>
      </c>
      <c r="B1224" s="4" t="n">
        <v>46039</v>
      </c>
      <c r="C1224" s="0" t="s">
        <v>654</v>
      </c>
      <c r="D1224" s="0" t="n">
        <v>1</v>
      </c>
      <c r="E1224" s="0" t="s">
        <v>3144</v>
      </c>
      <c r="F1224" s="3" t="n">
        <f aca="false">D1224*_xlfn.XLOOKUP(C1224,Item_Master!A:A,Item_Master!G:G)</f>
        <v>1800</v>
      </c>
      <c r="G1224" s="0" t="str">
        <f aca="false">TEXT(B1224,"MMM YYYY")</f>
        <v>Jan 2026</v>
      </c>
    </row>
    <row r="1225" customFormat="false" ht="15" hidden="false" customHeight="false" outlineLevel="0" collapsed="false">
      <c r="A1225" s="0" t="s">
        <v>3145</v>
      </c>
      <c r="B1225" s="4" t="n">
        <v>46039</v>
      </c>
      <c r="C1225" s="0" t="s">
        <v>704</v>
      </c>
      <c r="D1225" s="0" t="n">
        <v>14</v>
      </c>
      <c r="E1225" s="0" t="s">
        <v>3146</v>
      </c>
      <c r="F1225" s="3" t="n">
        <f aca="false">D1225*_xlfn.XLOOKUP(C1225,Item_Master!A:A,Item_Master!G:G)</f>
        <v>6440</v>
      </c>
      <c r="G1225" s="0" t="str">
        <f aca="false">TEXT(B1225,"MMM YYYY")</f>
        <v>Jan 2026</v>
      </c>
    </row>
    <row r="1226" customFormat="false" ht="15" hidden="false" customHeight="false" outlineLevel="0" collapsed="false">
      <c r="A1226" s="0" t="s">
        <v>3147</v>
      </c>
      <c r="B1226" s="4" t="n">
        <v>46040</v>
      </c>
      <c r="C1226" s="0" t="s">
        <v>198</v>
      </c>
      <c r="D1226" s="0" t="n">
        <v>15</v>
      </c>
      <c r="E1226" s="0" t="s">
        <v>3148</v>
      </c>
      <c r="F1226" s="3" t="n">
        <f aca="false">D1226*_xlfn.XLOOKUP(C1226,Item_Master!A:A,Item_Master!G:G)</f>
        <v>157350</v>
      </c>
      <c r="G1226" s="0" t="str">
        <f aca="false">TEXT(B1226,"MMM YYYY")</f>
        <v>Jan 2026</v>
      </c>
    </row>
    <row r="1227" customFormat="false" ht="15" hidden="false" customHeight="false" outlineLevel="0" collapsed="false">
      <c r="A1227" s="0" t="s">
        <v>3149</v>
      </c>
      <c r="B1227" s="4" t="n">
        <v>46040</v>
      </c>
      <c r="C1227" s="0" t="s">
        <v>243</v>
      </c>
      <c r="D1227" s="0" t="n">
        <v>34</v>
      </c>
      <c r="E1227" s="0" t="s">
        <v>3150</v>
      </c>
      <c r="F1227" s="3" t="n">
        <f aca="false">D1227*_xlfn.XLOOKUP(C1227,Item_Master!A:A,Item_Master!G:G)</f>
        <v>39780</v>
      </c>
      <c r="G1227" s="0" t="str">
        <f aca="false">TEXT(B1227,"MMM YYYY")</f>
        <v>Jan 2026</v>
      </c>
    </row>
    <row r="1228" customFormat="false" ht="15" hidden="false" customHeight="false" outlineLevel="0" collapsed="false">
      <c r="A1228" s="0" t="s">
        <v>3151</v>
      </c>
      <c r="B1228" s="4" t="n">
        <v>46040</v>
      </c>
      <c r="C1228" s="0" t="s">
        <v>255</v>
      </c>
      <c r="D1228" s="0" t="n">
        <v>4</v>
      </c>
      <c r="E1228" s="0" t="s">
        <v>3152</v>
      </c>
      <c r="F1228" s="3" t="n">
        <f aca="false">D1228*_xlfn.XLOOKUP(C1228,Item_Master!A:A,Item_Master!G:G)</f>
        <v>62600</v>
      </c>
      <c r="G1228" s="0" t="str">
        <f aca="false">TEXT(B1228,"MMM YYYY")</f>
        <v>Jan 2026</v>
      </c>
    </row>
    <row r="1229" customFormat="false" ht="15" hidden="false" customHeight="false" outlineLevel="0" collapsed="false">
      <c r="A1229" s="0" t="s">
        <v>3153</v>
      </c>
      <c r="B1229" s="4" t="n">
        <v>46040</v>
      </c>
      <c r="C1229" s="0" t="s">
        <v>359</v>
      </c>
      <c r="D1229" s="0" t="n">
        <v>2</v>
      </c>
      <c r="E1229" s="0" t="s">
        <v>3154</v>
      </c>
      <c r="F1229" s="3" t="n">
        <f aca="false">D1229*_xlfn.XLOOKUP(C1229,Item_Master!A:A,Item_Master!G:G)</f>
        <v>1100</v>
      </c>
      <c r="G1229" s="0" t="str">
        <f aca="false">TEXT(B1229,"MMM YYYY")</f>
        <v>Jan 2026</v>
      </c>
    </row>
    <row r="1230" customFormat="false" ht="15" hidden="false" customHeight="false" outlineLevel="0" collapsed="false">
      <c r="A1230" s="0" t="s">
        <v>3155</v>
      </c>
      <c r="B1230" s="4" t="n">
        <v>46040</v>
      </c>
      <c r="C1230" s="0" t="s">
        <v>462</v>
      </c>
      <c r="D1230" s="0" t="n">
        <v>10</v>
      </c>
      <c r="E1230" s="0" t="s">
        <v>3156</v>
      </c>
      <c r="F1230" s="3" t="n">
        <f aca="false">D1230*_xlfn.XLOOKUP(C1230,Item_Master!A:A,Item_Master!G:G)</f>
        <v>111000</v>
      </c>
      <c r="G1230" s="0" t="str">
        <f aca="false">TEXT(B1230,"MMM YYYY")</f>
        <v>Jan 2026</v>
      </c>
    </row>
    <row r="1231" customFormat="false" ht="15" hidden="false" customHeight="false" outlineLevel="0" collapsed="false">
      <c r="A1231" s="0" t="s">
        <v>3157</v>
      </c>
      <c r="B1231" s="4" t="n">
        <v>46040</v>
      </c>
      <c r="C1231" s="0" t="s">
        <v>561</v>
      </c>
      <c r="D1231" s="0" t="n">
        <v>2</v>
      </c>
      <c r="E1231" s="0" t="s">
        <v>3158</v>
      </c>
      <c r="F1231" s="3" t="n">
        <f aca="false">D1231*_xlfn.XLOOKUP(C1231,Item_Master!A:A,Item_Master!G:G)</f>
        <v>3600</v>
      </c>
      <c r="G1231" s="0" t="str">
        <f aca="false">TEXT(B1231,"MMM YYYY")</f>
        <v>Jan 2026</v>
      </c>
    </row>
    <row r="1232" customFormat="false" ht="15" hidden="false" customHeight="false" outlineLevel="0" collapsed="false">
      <c r="A1232" s="0" t="s">
        <v>3159</v>
      </c>
      <c r="B1232" s="4" t="n">
        <v>46041</v>
      </c>
      <c r="C1232" s="0" t="s">
        <v>139</v>
      </c>
      <c r="D1232" s="0" t="n">
        <v>14</v>
      </c>
      <c r="E1232" s="0" t="s">
        <v>3160</v>
      </c>
      <c r="F1232" s="3" t="n">
        <f aca="false">D1232*_xlfn.XLOOKUP(C1232,Item_Master!A:A,Item_Master!G:G)</f>
        <v>284480</v>
      </c>
      <c r="G1232" s="0" t="str">
        <f aca="false">TEXT(B1232,"MMM YYYY")</f>
        <v>Jan 2026</v>
      </c>
    </row>
    <row r="1233" customFormat="false" ht="15" hidden="false" customHeight="false" outlineLevel="0" collapsed="false">
      <c r="A1233" s="0" t="s">
        <v>3161</v>
      </c>
      <c r="B1233" s="4" t="n">
        <v>46041</v>
      </c>
      <c r="C1233" s="0" t="s">
        <v>209</v>
      </c>
      <c r="D1233" s="0" t="n">
        <v>12</v>
      </c>
      <c r="E1233" s="0" t="s">
        <v>3162</v>
      </c>
      <c r="F1233" s="3" t="n">
        <f aca="false">D1233*_xlfn.XLOOKUP(C1233,Item_Master!A:A,Item_Master!G:G)</f>
        <v>13080</v>
      </c>
      <c r="G1233" s="0" t="str">
        <f aca="false">TEXT(B1233,"MMM YYYY")</f>
        <v>Jan 2026</v>
      </c>
    </row>
    <row r="1234" customFormat="false" ht="15" hidden="false" customHeight="false" outlineLevel="0" collapsed="false">
      <c r="A1234" s="0" t="s">
        <v>3163</v>
      </c>
      <c r="B1234" s="4" t="n">
        <v>46041</v>
      </c>
      <c r="C1234" s="0" t="s">
        <v>262</v>
      </c>
      <c r="D1234" s="0" t="n">
        <v>11</v>
      </c>
      <c r="E1234" s="0" t="s">
        <v>3164</v>
      </c>
      <c r="F1234" s="3" t="n">
        <f aca="false">D1234*_xlfn.XLOOKUP(C1234,Item_Master!A:A,Item_Master!G:G)</f>
        <v>24090</v>
      </c>
      <c r="G1234" s="0" t="str">
        <f aca="false">TEXT(B1234,"MMM YYYY")</f>
        <v>Jan 2026</v>
      </c>
    </row>
    <row r="1235" customFormat="false" ht="15" hidden="false" customHeight="false" outlineLevel="0" collapsed="false">
      <c r="A1235" s="0" t="s">
        <v>3165</v>
      </c>
      <c r="B1235" s="4" t="n">
        <v>46041</v>
      </c>
      <c r="C1235" s="0" t="s">
        <v>295</v>
      </c>
      <c r="D1235" s="0" t="n">
        <v>18</v>
      </c>
      <c r="E1235" s="0" t="s">
        <v>3166</v>
      </c>
      <c r="F1235" s="3" t="n">
        <f aca="false">D1235*_xlfn.XLOOKUP(C1235,Item_Master!A:A,Item_Master!G:G)</f>
        <v>10620</v>
      </c>
      <c r="G1235" s="0" t="str">
        <f aca="false">TEXT(B1235,"MMM YYYY")</f>
        <v>Jan 2026</v>
      </c>
    </row>
    <row r="1236" customFormat="false" ht="15" hidden="false" customHeight="false" outlineLevel="0" collapsed="false">
      <c r="A1236" s="0" t="s">
        <v>3167</v>
      </c>
      <c r="B1236" s="4" t="n">
        <v>46041</v>
      </c>
      <c r="C1236" s="0" t="s">
        <v>386</v>
      </c>
      <c r="D1236" s="0" t="n">
        <v>17</v>
      </c>
      <c r="E1236" s="0" t="s">
        <v>3168</v>
      </c>
      <c r="F1236" s="3" t="n">
        <f aca="false">D1236*_xlfn.XLOOKUP(C1236,Item_Master!A:A,Item_Master!G:G)</f>
        <v>46580</v>
      </c>
      <c r="G1236" s="0" t="str">
        <f aca="false">TEXT(B1236,"MMM YYYY")</f>
        <v>Jan 2026</v>
      </c>
    </row>
    <row r="1237" customFormat="false" ht="15" hidden="false" customHeight="false" outlineLevel="0" collapsed="false">
      <c r="A1237" s="0" t="s">
        <v>3169</v>
      </c>
      <c r="B1237" s="4" t="n">
        <v>46041</v>
      </c>
      <c r="C1237" s="0" t="s">
        <v>467</v>
      </c>
      <c r="D1237" s="0" t="n">
        <v>1</v>
      </c>
      <c r="E1237" s="0" t="s">
        <v>3170</v>
      </c>
      <c r="F1237" s="3" t="n">
        <f aca="false">D1237*_xlfn.XLOOKUP(C1237,Item_Master!A:A,Item_Master!G:G)</f>
        <v>7130</v>
      </c>
      <c r="G1237" s="0" t="str">
        <f aca="false">TEXT(B1237,"MMM YYYY")</f>
        <v>Jan 2026</v>
      </c>
    </row>
    <row r="1238" customFormat="false" ht="15" hidden="false" customHeight="false" outlineLevel="0" collapsed="false">
      <c r="A1238" s="0" t="s">
        <v>3171</v>
      </c>
      <c r="B1238" s="4" t="n">
        <v>46041</v>
      </c>
      <c r="C1238" s="0" t="s">
        <v>472</v>
      </c>
      <c r="D1238" s="0" t="n">
        <v>18</v>
      </c>
      <c r="E1238" s="0" t="s">
        <v>3172</v>
      </c>
      <c r="F1238" s="3" t="n">
        <f aca="false">D1238*_xlfn.XLOOKUP(C1238,Item_Master!A:A,Item_Master!G:G)</f>
        <v>66600</v>
      </c>
      <c r="G1238" s="0" t="str">
        <f aca="false">TEXT(B1238,"MMM YYYY")</f>
        <v>Jan 2026</v>
      </c>
    </row>
    <row r="1239" customFormat="false" ht="15" hidden="false" customHeight="false" outlineLevel="0" collapsed="false">
      <c r="A1239" s="0" t="s">
        <v>3173</v>
      </c>
      <c r="B1239" s="4" t="n">
        <v>46041</v>
      </c>
      <c r="C1239" s="0" t="s">
        <v>492</v>
      </c>
      <c r="D1239" s="0" t="n">
        <v>17</v>
      </c>
      <c r="E1239" s="0" t="s">
        <v>3174</v>
      </c>
      <c r="F1239" s="3" t="n">
        <f aca="false">D1239*_xlfn.XLOOKUP(C1239,Item_Master!A:A,Item_Master!G:G)</f>
        <v>5950</v>
      </c>
      <c r="G1239" s="0" t="str">
        <f aca="false">TEXT(B1239,"MMM YYYY")</f>
        <v>Jan 2026</v>
      </c>
    </row>
    <row r="1240" customFormat="false" ht="15" hidden="false" customHeight="false" outlineLevel="0" collapsed="false">
      <c r="A1240" s="0" t="s">
        <v>3175</v>
      </c>
      <c r="B1240" s="4" t="n">
        <v>46041</v>
      </c>
      <c r="C1240" s="0" t="s">
        <v>525</v>
      </c>
      <c r="D1240" s="0" t="n">
        <v>15</v>
      </c>
      <c r="E1240" s="0" t="s">
        <v>3176</v>
      </c>
      <c r="F1240" s="3" t="n">
        <f aca="false">D1240*_xlfn.XLOOKUP(C1240,Item_Master!A:A,Item_Master!G:G)</f>
        <v>114900</v>
      </c>
      <c r="G1240" s="0" t="str">
        <f aca="false">TEXT(B1240,"MMM YYYY")</f>
        <v>Jan 2026</v>
      </c>
    </row>
    <row r="1241" customFormat="false" ht="15" hidden="false" customHeight="false" outlineLevel="0" collapsed="false">
      <c r="A1241" s="0" t="s">
        <v>3177</v>
      </c>
      <c r="B1241" s="4" t="n">
        <v>46041</v>
      </c>
      <c r="C1241" s="0" t="s">
        <v>597</v>
      </c>
      <c r="D1241" s="0" t="n">
        <v>1</v>
      </c>
      <c r="E1241" s="0" t="s">
        <v>3178</v>
      </c>
      <c r="F1241" s="3" t="n">
        <f aca="false">D1241*_xlfn.XLOOKUP(C1241,Item_Master!A:A,Item_Master!G:G)</f>
        <v>15930</v>
      </c>
      <c r="G1241" s="0" t="str">
        <f aca="false">TEXT(B1241,"MMM YYYY")</f>
        <v>Jan 2026</v>
      </c>
    </row>
    <row r="1242" customFormat="false" ht="15" hidden="false" customHeight="false" outlineLevel="0" collapsed="false">
      <c r="A1242" s="0" t="s">
        <v>3179</v>
      </c>
      <c r="B1242" s="4" t="n">
        <v>46041</v>
      </c>
      <c r="C1242" s="0" t="s">
        <v>610</v>
      </c>
      <c r="D1242" s="0" t="n">
        <v>7</v>
      </c>
      <c r="E1242" s="0" t="s">
        <v>3180</v>
      </c>
      <c r="F1242" s="3" t="n">
        <f aca="false">D1242*_xlfn.XLOOKUP(C1242,Item_Master!A:A,Item_Master!G:G)</f>
        <v>15960</v>
      </c>
      <c r="G1242" s="0" t="str">
        <f aca="false">TEXT(B1242,"MMM YYYY")</f>
        <v>Jan 2026</v>
      </c>
    </row>
    <row r="1243" customFormat="false" ht="15" hidden="false" customHeight="false" outlineLevel="0" collapsed="false">
      <c r="A1243" s="0" t="s">
        <v>3181</v>
      </c>
      <c r="B1243" s="4" t="n">
        <v>46041</v>
      </c>
      <c r="C1243" s="0" t="s">
        <v>624</v>
      </c>
      <c r="D1243" s="0" t="n">
        <v>13</v>
      </c>
      <c r="E1243" s="0" t="s">
        <v>3182</v>
      </c>
      <c r="F1243" s="3" t="n">
        <f aca="false">D1243*_xlfn.XLOOKUP(C1243,Item_Master!A:A,Item_Master!G:G)</f>
        <v>8060</v>
      </c>
      <c r="G1243" s="0" t="str">
        <f aca="false">TEXT(B1243,"MMM YYYY")</f>
        <v>Jan 2026</v>
      </c>
    </row>
    <row r="1244" customFormat="false" ht="15" hidden="false" customHeight="false" outlineLevel="0" collapsed="false">
      <c r="A1244" s="0" t="s">
        <v>3183</v>
      </c>
      <c r="B1244" s="4" t="n">
        <v>46041</v>
      </c>
      <c r="C1244" s="0" t="s">
        <v>706</v>
      </c>
      <c r="D1244" s="0" t="n">
        <v>9</v>
      </c>
      <c r="E1244" s="0" t="s">
        <v>3184</v>
      </c>
      <c r="F1244" s="3" t="n">
        <f aca="false">D1244*_xlfn.XLOOKUP(C1244,Item_Master!A:A,Item_Master!G:G)</f>
        <v>11070</v>
      </c>
      <c r="G1244" s="0" t="str">
        <f aca="false">TEXT(B1244,"MMM YYYY")</f>
        <v>Jan 2026</v>
      </c>
    </row>
    <row r="1245" customFormat="false" ht="15" hidden="false" customHeight="false" outlineLevel="0" collapsed="false">
      <c r="A1245" s="0" t="s">
        <v>3185</v>
      </c>
      <c r="B1245" s="4" t="n">
        <v>46042</v>
      </c>
      <c r="C1245" s="0" t="s">
        <v>64</v>
      </c>
      <c r="D1245" s="0" t="n">
        <v>26</v>
      </c>
      <c r="E1245" s="0" t="s">
        <v>3186</v>
      </c>
      <c r="F1245" s="3" t="n">
        <f aca="false">D1245*_xlfn.XLOOKUP(C1245,Item_Master!A:A,Item_Master!G:G)</f>
        <v>40040</v>
      </c>
      <c r="G1245" s="0" t="str">
        <f aca="false">TEXT(B1245,"MMM YYYY")</f>
        <v>Jan 2026</v>
      </c>
    </row>
    <row r="1246" customFormat="false" ht="15" hidden="false" customHeight="false" outlineLevel="0" collapsed="false">
      <c r="A1246" s="0" t="s">
        <v>3187</v>
      </c>
      <c r="B1246" s="4" t="n">
        <v>46042</v>
      </c>
      <c r="C1246" s="0" t="s">
        <v>232</v>
      </c>
      <c r="D1246" s="0" t="n">
        <v>2</v>
      </c>
      <c r="E1246" s="0" t="s">
        <v>3188</v>
      </c>
      <c r="F1246" s="3" t="n">
        <f aca="false">D1246*_xlfn.XLOOKUP(C1246,Item_Master!A:A,Item_Master!G:G)</f>
        <v>6840</v>
      </c>
      <c r="G1246" s="0" t="str">
        <f aca="false">TEXT(B1246,"MMM YYYY")</f>
        <v>Jan 2026</v>
      </c>
    </row>
    <row r="1247" customFormat="false" ht="15" hidden="false" customHeight="false" outlineLevel="0" collapsed="false">
      <c r="A1247" s="0" t="s">
        <v>3189</v>
      </c>
      <c r="B1247" s="4" t="n">
        <v>46042</v>
      </c>
      <c r="C1247" s="0" t="s">
        <v>265</v>
      </c>
      <c r="D1247" s="0" t="n">
        <v>36</v>
      </c>
      <c r="E1247" s="0" t="s">
        <v>3190</v>
      </c>
      <c r="F1247" s="3" t="n">
        <f aca="false">D1247*_xlfn.XLOOKUP(C1247,Item_Master!A:A,Item_Master!G:G)</f>
        <v>9720</v>
      </c>
      <c r="G1247" s="0" t="str">
        <f aca="false">TEXT(B1247,"MMM YYYY")</f>
        <v>Jan 2026</v>
      </c>
    </row>
    <row r="1248" customFormat="false" ht="15" hidden="false" customHeight="false" outlineLevel="0" collapsed="false">
      <c r="A1248" s="0" t="s">
        <v>3191</v>
      </c>
      <c r="B1248" s="4" t="n">
        <v>46042</v>
      </c>
      <c r="C1248" s="0" t="s">
        <v>320</v>
      </c>
      <c r="D1248" s="0" t="n">
        <v>23</v>
      </c>
      <c r="E1248" s="0" t="s">
        <v>3192</v>
      </c>
      <c r="F1248" s="3" t="n">
        <f aca="false">D1248*_xlfn.XLOOKUP(C1248,Item_Master!A:A,Item_Master!G:G)</f>
        <v>13340</v>
      </c>
      <c r="G1248" s="0" t="str">
        <f aca="false">TEXT(B1248,"MMM YYYY")</f>
        <v>Jan 2026</v>
      </c>
    </row>
    <row r="1249" customFormat="false" ht="15" hidden="false" customHeight="false" outlineLevel="0" collapsed="false">
      <c r="A1249" s="0" t="s">
        <v>3193</v>
      </c>
      <c r="B1249" s="4" t="n">
        <v>46042</v>
      </c>
      <c r="C1249" s="0" t="s">
        <v>361</v>
      </c>
      <c r="D1249" s="0" t="n">
        <v>9</v>
      </c>
      <c r="E1249" s="0" t="s">
        <v>3194</v>
      </c>
      <c r="F1249" s="3" t="n">
        <f aca="false">D1249*_xlfn.XLOOKUP(C1249,Item_Master!A:A,Item_Master!G:G)</f>
        <v>22500</v>
      </c>
      <c r="G1249" s="0" t="str">
        <f aca="false">TEXT(B1249,"MMM YYYY")</f>
        <v>Jan 2026</v>
      </c>
    </row>
    <row r="1250" customFormat="false" ht="15" hidden="false" customHeight="false" outlineLevel="0" collapsed="false">
      <c r="A1250" s="0" t="s">
        <v>3195</v>
      </c>
      <c r="B1250" s="4" t="n">
        <v>46042</v>
      </c>
      <c r="C1250" s="0" t="s">
        <v>363</v>
      </c>
      <c r="D1250" s="0" t="n">
        <v>38</v>
      </c>
      <c r="E1250" s="0" t="s">
        <v>3196</v>
      </c>
      <c r="F1250" s="3" t="n">
        <f aca="false">D1250*_xlfn.XLOOKUP(C1250,Item_Master!A:A,Item_Master!G:G)</f>
        <v>52440</v>
      </c>
      <c r="G1250" s="0" t="str">
        <f aca="false">TEXT(B1250,"MMM YYYY")</f>
        <v>Jan 2026</v>
      </c>
    </row>
    <row r="1251" customFormat="false" ht="15" hidden="false" customHeight="false" outlineLevel="0" collapsed="false">
      <c r="A1251" s="0" t="s">
        <v>3197</v>
      </c>
      <c r="B1251" s="4" t="n">
        <v>46042</v>
      </c>
      <c r="C1251" s="0" t="s">
        <v>368</v>
      </c>
      <c r="D1251" s="0" t="n">
        <v>33</v>
      </c>
      <c r="E1251" s="0" t="s">
        <v>3198</v>
      </c>
      <c r="F1251" s="3" t="n">
        <f aca="false">D1251*_xlfn.XLOOKUP(C1251,Item_Master!A:A,Item_Master!G:G)</f>
        <v>48840</v>
      </c>
      <c r="G1251" s="0" t="str">
        <f aca="false">TEXT(B1251,"MMM YYYY")</f>
        <v>Jan 2026</v>
      </c>
    </row>
    <row r="1252" customFormat="false" ht="15" hidden="false" customHeight="false" outlineLevel="0" collapsed="false">
      <c r="A1252" s="0" t="s">
        <v>3199</v>
      </c>
      <c r="B1252" s="4" t="n">
        <v>46042</v>
      </c>
      <c r="C1252" s="0" t="s">
        <v>393</v>
      </c>
      <c r="D1252" s="0" t="n">
        <v>27</v>
      </c>
      <c r="E1252" s="0" t="s">
        <v>3200</v>
      </c>
      <c r="F1252" s="3" t="n">
        <f aca="false">D1252*_xlfn.XLOOKUP(C1252,Item_Master!A:A,Item_Master!G:G)</f>
        <v>69390</v>
      </c>
      <c r="G1252" s="0" t="str">
        <f aca="false">TEXT(B1252,"MMM YYYY")</f>
        <v>Jan 2026</v>
      </c>
    </row>
    <row r="1253" customFormat="false" ht="15" hidden="false" customHeight="false" outlineLevel="0" collapsed="false">
      <c r="A1253" s="0" t="s">
        <v>3201</v>
      </c>
      <c r="B1253" s="4" t="n">
        <v>46042</v>
      </c>
      <c r="C1253" s="0" t="s">
        <v>539</v>
      </c>
      <c r="D1253" s="0" t="n">
        <v>3</v>
      </c>
      <c r="E1253" s="0" t="s">
        <v>3202</v>
      </c>
      <c r="F1253" s="3" t="n">
        <f aca="false">D1253*_xlfn.XLOOKUP(C1253,Item_Master!A:A,Item_Master!G:G)</f>
        <v>14880</v>
      </c>
      <c r="G1253" s="0" t="str">
        <f aca="false">TEXT(B1253,"MMM YYYY")</f>
        <v>Jan 2026</v>
      </c>
    </row>
    <row r="1254" customFormat="false" ht="15" hidden="false" customHeight="false" outlineLevel="0" collapsed="false">
      <c r="A1254" s="0" t="s">
        <v>3203</v>
      </c>
      <c r="B1254" s="4" t="n">
        <v>46042</v>
      </c>
      <c r="C1254" s="0" t="s">
        <v>601</v>
      </c>
      <c r="D1254" s="0" t="n">
        <v>35</v>
      </c>
      <c r="E1254" s="0" t="s">
        <v>3204</v>
      </c>
      <c r="F1254" s="3" t="n">
        <f aca="false">D1254*_xlfn.XLOOKUP(C1254,Item_Master!A:A,Item_Master!G:G)</f>
        <v>78400</v>
      </c>
      <c r="G1254" s="0" t="str">
        <f aca="false">TEXT(B1254,"MMM YYYY")</f>
        <v>Jan 2026</v>
      </c>
    </row>
    <row r="1255" customFormat="false" ht="15" hidden="false" customHeight="false" outlineLevel="0" collapsed="false">
      <c r="A1255" s="0" t="s">
        <v>3205</v>
      </c>
      <c r="B1255" s="4" t="n">
        <v>46042</v>
      </c>
      <c r="C1255" s="0" t="s">
        <v>665</v>
      </c>
      <c r="D1255" s="0" t="n">
        <v>3</v>
      </c>
      <c r="E1255" s="0" t="s">
        <v>3206</v>
      </c>
      <c r="F1255" s="3" t="n">
        <f aca="false">D1255*_xlfn.XLOOKUP(C1255,Item_Master!A:A,Item_Master!G:G)</f>
        <v>3420</v>
      </c>
      <c r="G1255" s="0" t="str">
        <f aca="false">TEXT(B1255,"MMM YYYY")</f>
        <v>Jan 2026</v>
      </c>
    </row>
    <row r="1256" customFormat="false" ht="15" hidden="false" customHeight="false" outlineLevel="0" collapsed="false">
      <c r="A1256" s="0" t="s">
        <v>3207</v>
      </c>
      <c r="B1256" s="4" t="n">
        <v>46043</v>
      </c>
      <c r="C1256" s="0" t="s">
        <v>68</v>
      </c>
      <c r="D1256" s="0" t="n">
        <v>25</v>
      </c>
      <c r="E1256" s="0" t="s">
        <v>3208</v>
      </c>
      <c r="F1256" s="3" t="n">
        <f aca="false">D1256*_xlfn.XLOOKUP(C1256,Item_Master!A:A,Item_Master!G:G)</f>
        <v>33750</v>
      </c>
      <c r="G1256" s="0" t="str">
        <f aca="false">TEXT(B1256,"MMM YYYY")</f>
        <v>Jan 2026</v>
      </c>
    </row>
    <row r="1257" customFormat="false" ht="15" hidden="false" customHeight="false" outlineLevel="0" collapsed="false">
      <c r="A1257" s="0" t="s">
        <v>3209</v>
      </c>
      <c r="B1257" s="4" t="n">
        <v>46043</v>
      </c>
      <c r="C1257" s="0" t="s">
        <v>212</v>
      </c>
      <c r="D1257" s="0" t="n">
        <v>1</v>
      </c>
      <c r="E1257" s="0" t="s">
        <v>3210</v>
      </c>
      <c r="F1257" s="3" t="n">
        <f aca="false">D1257*_xlfn.XLOOKUP(C1257,Item_Master!A:A,Item_Master!G:G)</f>
        <v>4260</v>
      </c>
      <c r="G1257" s="0" t="str">
        <f aca="false">TEXT(B1257,"MMM YYYY")</f>
        <v>Jan 2026</v>
      </c>
    </row>
    <row r="1258" customFormat="false" ht="15" hidden="false" customHeight="false" outlineLevel="0" collapsed="false">
      <c r="A1258" s="0" t="s">
        <v>3211</v>
      </c>
      <c r="B1258" s="4" t="n">
        <v>46043</v>
      </c>
      <c r="C1258" s="0" t="s">
        <v>217</v>
      </c>
      <c r="D1258" s="0" t="n">
        <v>24</v>
      </c>
      <c r="E1258" s="0" t="s">
        <v>3212</v>
      </c>
      <c r="F1258" s="3" t="n">
        <f aca="false">D1258*_xlfn.XLOOKUP(C1258,Item_Master!A:A,Item_Master!G:G)</f>
        <v>82320</v>
      </c>
      <c r="G1258" s="0" t="str">
        <f aca="false">TEXT(B1258,"MMM YYYY")</f>
        <v>Jan 2026</v>
      </c>
    </row>
    <row r="1259" customFormat="false" ht="15" hidden="false" customHeight="false" outlineLevel="0" collapsed="false">
      <c r="A1259" s="0" t="s">
        <v>3213</v>
      </c>
      <c r="B1259" s="4" t="n">
        <v>46043</v>
      </c>
      <c r="C1259" s="0" t="s">
        <v>251</v>
      </c>
      <c r="D1259" s="0" t="n">
        <v>11</v>
      </c>
      <c r="E1259" s="0" t="s">
        <v>3214</v>
      </c>
      <c r="F1259" s="3" t="n">
        <f aca="false">D1259*_xlfn.XLOOKUP(C1259,Item_Master!A:A,Item_Master!G:G)</f>
        <v>1870</v>
      </c>
      <c r="G1259" s="0" t="str">
        <f aca="false">TEXT(B1259,"MMM YYYY")</f>
        <v>Jan 2026</v>
      </c>
    </row>
    <row r="1260" customFormat="false" ht="15" hidden="false" customHeight="false" outlineLevel="0" collapsed="false">
      <c r="A1260" s="0" t="s">
        <v>3215</v>
      </c>
      <c r="B1260" s="4" t="n">
        <v>46043</v>
      </c>
      <c r="C1260" s="0" t="s">
        <v>314</v>
      </c>
      <c r="D1260" s="0" t="n">
        <v>40</v>
      </c>
      <c r="E1260" s="0" t="s">
        <v>3216</v>
      </c>
      <c r="F1260" s="3" t="n">
        <f aca="false">D1260*_xlfn.XLOOKUP(C1260,Item_Master!A:A,Item_Master!G:G)</f>
        <v>137200</v>
      </c>
      <c r="G1260" s="0" t="str">
        <f aca="false">TEXT(B1260,"MMM YYYY")</f>
        <v>Jan 2026</v>
      </c>
    </row>
    <row r="1261" customFormat="false" ht="15" hidden="false" customHeight="false" outlineLevel="0" collapsed="false">
      <c r="A1261" s="0" t="s">
        <v>3217</v>
      </c>
      <c r="B1261" s="4" t="n">
        <v>46043</v>
      </c>
      <c r="C1261" s="0" t="s">
        <v>389</v>
      </c>
      <c r="D1261" s="0" t="n">
        <v>23</v>
      </c>
      <c r="E1261" s="0" t="s">
        <v>3218</v>
      </c>
      <c r="F1261" s="3" t="n">
        <f aca="false">D1261*_xlfn.XLOOKUP(C1261,Item_Master!A:A,Item_Master!G:G)</f>
        <v>45310</v>
      </c>
      <c r="G1261" s="0" t="str">
        <f aca="false">TEXT(B1261,"MMM YYYY")</f>
        <v>Jan 2026</v>
      </c>
    </row>
    <row r="1262" customFormat="false" ht="15" hidden="false" customHeight="false" outlineLevel="0" collapsed="false">
      <c r="A1262" s="0" t="s">
        <v>3219</v>
      </c>
      <c r="B1262" s="4" t="n">
        <v>46043</v>
      </c>
      <c r="C1262" s="0" t="s">
        <v>456</v>
      </c>
      <c r="D1262" s="0" t="n">
        <v>9</v>
      </c>
      <c r="E1262" s="0" t="s">
        <v>3220</v>
      </c>
      <c r="F1262" s="3" t="n">
        <f aca="false">D1262*_xlfn.XLOOKUP(C1262,Item_Master!A:A,Item_Master!G:G)</f>
        <v>5850</v>
      </c>
      <c r="G1262" s="0" t="str">
        <f aca="false">TEXT(B1262,"MMM YYYY")</f>
        <v>Jan 2026</v>
      </c>
    </row>
    <row r="1263" customFormat="false" ht="15" hidden="false" customHeight="false" outlineLevel="0" collapsed="false">
      <c r="A1263" s="0" t="s">
        <v>3221</v>
      </c>
      <c r="B1263" s="4" t="n">
        <v>46043</v>
      </c>
      <c r="C1263" s="0" t="s">
        <v>487</v>
      </c>
      <c r="D1263" s="0" t="n">
        <v>6</v>
      </c>
      <c r="E1263" s="0" t="s">
        <v>3222</v>
      </c>
      <c r="F1263" s="3" t="n">
        <f aca="false">D1263*_xlfn.XLOOKUP(C1263,Item_Master!A:A,Item_Master!G:G)</f>
        <v>2880</v>
      </c>
      <c r="G1263" s="0" t="str">
        <f aca="false">TEXT(B1263,"MMM YYYY")</f>
        <v>Jan 2026</v>
      </c>
    </row>
    <row r="1264" customFormat="false" ht="15" hidden="false" customHeight="false" outlineLevel="0" collapsed="false">
      <c r="A1264" s="0" t="s">
        <v>3223</v>
      </c>
      <c r="B1264" s="4" t="n">
        <v>46043</v>
      </c>
      <c r="C1264" s="0" t="s">
        <v>571</v>
      </c>
      <c r="D1264" s="0" t="n">
        <v>10</v>
      </c>
      <c r="E1264" s="0" t="s">
        <v>3224</v>
      </c>
      <c r="F1264" s="3" t="n">
        <f aca="false">D1264*_xlfn.XLOOKUP(C1264,Item_Master!A:A,Item_Master!G:G)</f>
        <v>14800</v>
      </c>
      <c r="G1264" s="0" t="str">
        <f aca="false">TEXT(B1264,"MMM YYYY")</f>
        <v>Jan 2026</v>
      </c>
    </row>
    <row r="1265" customFormat="false" ht="15" hidden="false" customHeight="false" outlineLevel="0" collapsed="false">
      <c r="A1265" s="0" t="s">
        <v>3225</v>
      </c>
      <c r="B1265" s="4" t="n">
        <v>46043</v>
      </c>
      <c r="C1265" s="0" t="s">
        <v>614</v>
      </c>
      <c r="D1265" s="0" t="n">
        <v>6</v>
      </c>
      <c r="E1265" s="0" t="s">
        <v>3226</v>
      </c>
      <c r="F1265" s="3" t="n">
        <f aca="false">D1265*_xlfn.XLOOKUP(C1265,Item_Master!A:A,Item_Master!G:G)</f>
        <v>11880</v>
      </c>
      <c r="G1265" s="0" t="str">
        <f aca="false">TEXT(B1265,"MMM YYYY")</f>
        <v>Jan 2026</v>
      </c>
    </row>
    <row r="1266" customFormat="false" ht="15" hidden="false" customHeight="false" outlineLevel="0" collapsed="false">
      <c r="A1266" s="0" t="s">
        <v>3227</v>
      </c>
      <c r="B1266" s="4" t="n">
        <v>46043</v>
      </c>
      <c r="C1266" s="0" t="s">
        <v>674</v>
      </c>
      <c r="D1266" s="0" t="n">
        <v>4</v>
      </c>
      <c r="E1266" s="0" t="s">
        <v>3228</v>
      </c>
      <c r="F1266" s="3" t="n">
        <f aca="false">D1266*_xlfn.XLOOKUP(C1266,Item_Master!A:A,Item_Master!G:G)</f>
        <v>2840</v>
      </c>
      <c r="G1266" s="0" t="str">
        <f aca="false">TEXT(B1266,"MMM YYYY")</f>
        <v>Jan 2026</v>
      </c>
    </row>
    <row r="1267" customFormat="false" ht="15" hidden="false" customHeight="false" outlineLevel="0" collapsed="false">
      <c r="A1267" s="0" t="s">
        <v>3229</v>
      </c>
      <c r="B1267" s="4" t="n">
        <v>46044</v>
      </c>
      <c r="C1267" s="0" t="s">
        <v>51</v>
      </c>
      <c r="D1267" s="0" t="n">
        <v>22</v>
      </c>
      <c r="E1267" s="0" t="s">
        <v>3230</v>
      </c>
      <c r="F1267" s="3" t="n">
        <f aca="false">D1267*_xlfn.XLOOKUP(C1267,Item_Master!A:A,Item_Master!G:G)</f>
        <v>276320</v>
      </c>
      <c r="G1267" s="0" t="str">
        <f aca="false">TEXT(B1267,"MMM YYYY")</f>
        <v>Jan 2026</v>
      </c>
    </row>
    <row r="1268" customFormat="false" ht="15" hidden="false" customHeight="false" outlineLevel="0" collapsed="false">
      <c r="A1268" s="0" t="s">
        <v>3231</v>
      </c>
      <c r="B1268" s="4" t="n">
        <v>46044</v>
      </c>
      <c r="C1268" s="0" t="s">
        <v>105</v>
      </c>
      <c r="D1268" s="0" t="n">
        <v>26</v>
      </c>
      <c r="E1268" s="0" t="s">
        <v>3232</v>
      </c>
      <c r="F1268" s="3" t="n">
        <f aca="false">D1268*_xlfn.XLOOKUP(C1268,Item_Master!A:A,Item_Master!G:G)</f>
        <v>356720</v>
      </c>
      <c r="G1268" s="0" t="str">
        <f aca="false">TEXT(B1268,"MMM YYYY")</f>
        <v>Jan 2026</v>
      </c>
    </row>
    <row r="1269" customFormat="false" ht="15" hidden="false" customHeight="false" outlineLevel="0" collapsed="false">
      <c r="A1269" s="0" t="s">
        <v>3233</v>
      </c>
      <c r="B1269" s="4" t="n">
        <v>46044</v>
      </c>
      <c r="C1269" s="0" t="s">
        <v>110</v>
      </c>
      <c r="D1269" s="0" t="n">
        <v>16</v>
      </c>
      <c r="E1269" s="0" t="s">
        <v>3234</v>
      </c>
      <c r="F1269" s="3" t="n">
        <f aca="false">D1269*_xlfn.XLOOKUP(C1269,Item_Master!A:A,Item_Master!G:G)</f>
        <v>15360</v>
      </c>
      <c r="G1269" s="0" t="str">
        <f aca="false">TEXT(B1269,"MMM YYYY")</f>
        <v>Jan 2026</v>
      </c>
    </row>
    <row r="1270" customFormat="false" ht="15" hidden="false" customHeight="false" outlineLevel="0" collapsed="false">
      <c r="A1270" s="0" t="s">
        <v>3235</v>
      </c>
      <c r="B1270" s="4" t="n">
        <v>46044</v>
      </c>
      <c r="C1270" s="0" t="s">
        <v>139</v>
      </c>
      <c r="D1270" s="0" t="n">
        <v>4</v>
      </c>
      <c r="E1270" s="0" t="s">
        <v>3236</v>
      </c>
      <c r="F1270" s="3" t="n">
        <f aca="false">D1270*_xlfn.XLOOKUP(C1270,Item_Master!A:A,Item_Master!G:G)</f>
        <v>81280</v>
      </c>
      <c r="G1270" s="0" t="str">
        <f aca="false">TEXT(B1270,"MMM YYYY")</f>
        <v>Jan 2026</v>
      </c>
    </row>
    <row r="1271" customFormat="false" ht="15" hidden="false" customHeight="false" outlineLevel="0" collapsed="false">
      <c r="A1271" s="0" t="s">
        <v>3237</v>
      </c>
      <c r="B1271" s="4" t="n">
        <v>46044</v>
      </c>
      <c r="C1271" s="0" t="s">
        <v>223</v>
      </c>
      <c r="D1271" s="0" t="n">
        <v>2</v>
      </c>
      <c r="E1271" s="0" t="s">
        <v>3238</v>
      </c>
      <c r="F1271" s="3" t="n">
        <f aca="false">D1271*_xlfn.XLOOKUP(C1271,Item_Master!A:A,Item_Master!G:G)</f>
        <v>520</v>
      </c>
      <c r="G1271" s="0" t="str">
        <f aca="false">TEXT(B1271,"MMM YYYY")</f>
        <v>Jan 2026</v>
      </c>
    </row>
    <row r="1272" customFormat="false" ht="15" hidden="false" customHeight="false" outlineLevel="0" collapsed="false">
      <c r="A1272" s="0" t="s">
        <v>3239</v>
      </c>
      <c r="B1272" s="4" t="n">
        <v>46044</v>
      </c>
      <c r="C1272" s="0" t="s">
        <v>357</v>
      </c>
      <c r="D1272" s="0" t="n">
        <v>37</v>
      </c>
      <c r="E1272" s="0" t="s">
        <v>3240</v>
      </c>
      <c r="F1272" s="3" t="n">
        <f aca="false">D1272*_xlfn.XLOOKUP(C1272,Item_Master!A:A,Item_Master!G:G)</f>
        <v>405890</v>
      </c>
      <c r="G1272" s="0" t="str">
        <f aca="false">TEXT(B1272,"MMM YYYY")</f>
        <v>Jan 2026</v>
      </c>
    </row>
    <row r="1273" customFormat="false" ht="15" hidden="false" customHeight="false" outlineLevel="0" collapsed="false">
      <c r="A1273" s="0" t="s">
        <v>3241</v>
      </c>
      <c r="B1273" s="4" t="n">
        <v>46044</v>
      </c>
      <c r="C1273" s="0" t="s">
        <v>389</v>
      </c>
      <c r="D1273" s="0" t="n">
        <v>23</v>
      </c>
      <c r="E1273" s="0" t="s">
        <v>3242</v>
      </c>
      <c r="F1273" s="3" t="n">
        <f aca="false">D1273*_xlfn.XLOOKUP(C1273,Item_Master!A:A,Item_Master!G:G)</f>
        <v>45310</v>
      </c>
      <c r="G1273" s="0" t="str">
        <f aca="false">TEXT(B1273,"MMM YYYY")</f>
        <v>Jan 2026</v>
      </c>
    </row>
    <row r="1274" customFormat="false" ht="15" hidden="false" customHeight="false" outlineLevel="0" collapsed="false">
      <c r="A1274" s="0" t="s">
        <v>3243</v>
      </c>
      <c r="B1274" s="4" t="n">
        <v>46044</v>
      </c>
      <c r="C1274" s="0" t="s">
        <v>487</v>
      </c>
      <c r="D1274" s="0" t="n">
        <v>28</v>
      </c>
      <c r="E1274" s="0" t="s">
        <v>3244</v>
      </c>
      <c r="F1274" s="3" t="n">
        <f aca="false">D1274*_xlfn.XLOOKUP(C1274,Item_Master!A:A,Item_Master!G:G)</f>
        <v>13440</v>
      </c>
      <c r="G1274" s="0" t="str">
        <f aca="false">TEXT(B1274,"MMM YYYY")</f>
        <v>Jan 2026</v>
      </c>
    </row>
    <row r="1275" customFormat="false" ht="15" hidden="false" customHeight="false" outlineLevel="0" collapsed="false">
      <c r="A1275" s="0" t="s">
        <v>3245</v>
      </c>
      <c r="B1275" s="4" t="n">
        <v>46044</v>
      </c>
      <c r="C1275" s="0" t="s">
        <v>521</v>
      </c>
      <c r="D1275" s="0" t="n">
        <v>17</v>
      </c>
      <c r="E1275" s="0" t="s">
        <v>3246</v>
      </c>
      <c r="F1275" s="3" t="n">
        <f aca="false">D1275*_xlfn.XLOOKUP(C1275,Item_Master!A:A,Item_Master!G:G)</f>
        <v>10370</v>
      </c>
      <c r="G1275" s="0" t="str">
        <f aca="false">TEXT(B1275,"MMM YYYY")</f>
        <v>Jan 2026</v>
      </c>
    </row>
    <row r="1276" customFormat="false" ht="15" hidden="false" customHeight="false" outlineLevel="0" collapsed="false">
      <c r="A1276" s="0" t="s">
        <v>3247</v>
      </c>
      <c r="B1276" s="4" t="n">
        <v>46044</v>
      </c>
      <c r="C1276" s="0" t="s">
        <v>553</v>
      </c>
      <c r="D1276" s="0" t="n">
        <v>7</v>
      </c>
      <c r="E1276" s="0" t="s">
        <v>3248</v>
      </c>
      <c r="F1276" s="3" t="n">
        <f aca="false">D1276*_xlfn.XLOOKUP(C1276,Item_Master!A:A,Item_Master!G:G)</f>
        <v>40250</v>
      </c>
      <c r="G1276" s="0" t="str">
        <f aca="false">TEXT(B1276,"MMM YYYY")</f>
        <v>Jan 2026</v>
      </c>
    </row>
    <row r="1277" customFormat="false" ht="15" hidden="false" customHeight="false" outlineLevel="0" collapsed="false">
      <c r="A1277" s="0" t="s">
        <v>3249</v>
      </c>
      <c r="B1277" s="4" t="n">
        <v>46044</v>
      </c>
      <c r="C1277" s="0" t="s">
        <v>564</v>
      </c>
      <c r="D1277" s="0" t="n">
        <v>14</v>
      </c>
      <c r="E1277" s="0" t="s">
        <v>3250</v>
      </c>
      <c r="F1277" s="3" t="n">
        <f aca="false">D1277*_xlfn.XLOOKUP(C1277,Item_Master!A:A,Item_Master!G:G)</f>
        <v>14140</v>
      </c>
      <c r="G1277" s="0" t="str">
        <f aca="false">TEXT(B1277,"MMM YYYY")</f>
        <v>Jan 2026</v>
      </c>
    </row>
    <row r="1278" customFormat="false" ht="15" hidden="false" customHeight="false" outlineLevel="0" collapsed="false">
      <c r="A1278" s="0" t="s">
        <v>3251</v>
      </c>
      <c r="B1278" s="4" t="n">
        <v>46044</v>
      </c>
      <c r="C1278" s="0" t="s">
        <v>577</v>
      </c>
      <c r="D1278" s="0" t="n">
        <v>6</v>
      </c>
      <c r="E1278" s="0" t="s">
        <v>3252</v>
      </c>
      <c r="F1278" s="3" t="n">
        <f aca="false">D1278*_xlfn.XLOOKUP(C1278,Item_Master!A:A,Item_Master!G:G)</f>
        <v>8340</v>
      </c>
      <c r="G1278" s="0" t="str">
        <f aca="false">TEXT(B1278,"MMM YYYY")</f>
        <v>Jan 2026</v>
      </c>
    </row>
    <row r="1279" customFormat="false" ht="15" hidden="false" customHeight="false" outlineLevel="0" collapsed="false">
      <c r="A1279" s="0" t="s">
        <v>3253</v>
      </c>
      <c r="B1279" s="4" t="n">
        <v>46044</v>
      </c>
      <c r="C1279" s="0" t="s">
        <v>603</v>
      </c>
      <c r="D1279" s="0" t="n">
        <v>8</v>
      </c>
      <c r="E1279" s="0" t="s">
        <v>3254</v>
      </c>
      <c r="F1279" s="3" t="n">
        <f aca="false">D1279*_xlfn.XLOOKUP(C1279,Item_Master!A:A,Item_Master!G:G)</f>
        <v>3600</v>
      </c>
      <c r="G1279" s="0" t="str">
        <f aca="false">TEXT(B1279,"MMM YYYY")</f>
        <v>Jan 2026</v>
      </c>
    </row>
    <row r="1280" customFormat="false" ht="15" hidden="false" customHeight="false" outlineLevel="0" collapsed="false">
      <c r="A1280" s="0" t="s">
        <v>3255</v>
      </c>
      <c r="B1280" s="4" t="n">
        <v>46045</v>
      </c>
      <c r="C1280" s="0" t="s">
        <v>87</v>
      </c>
      <c r="D1280" s="0" t="n">
        <v>29</v>
      </c>
      <c r="E1280" s="0" t="s">
        <v>3256</v>
      </c>
      <c r="F1280" s="3" t="n">
        <f aca="false">D1280*_xlfn.XLOOKUP(C1280,Item_Master!A:A,Item_Master!G:G)</f>
        <v>57710</v>
      </c>
      <c r="G1280" s="0" t="str">
        <f aca="false">TEXT(B1280,"MMM YYYY")</f>
        <v>Jan 2026</v>
      </c>
    </row>
    <row r="1281" customFormat="false" ht="15" hidden="false" customHeight="false" outlineLevel="0" collapsed="false">
      <c r="A1281" s="0" t="s">
        <v>3257</v>
      </c>
      <c r="B1281" s="4" t="n">
        <v>46045</v>
      </c>
      <c r="C1281" s="0" t="s">
        <v>120</v>
      </c>
      <c r="D1281" s="0" t="n">
        <v>34</v>
      </c>
      <c r="E1281" s="0" t="s">
        <v>3258</v>
      </c>
      <c r="F1281" s="3" t="n">
        <f aca="false">D1281*_xlfn.XLOOKUP(C1281,Item_Master!A:A,Item_Master!G:G)</f>
        <v>8840</v>
      </c>
      <c r="G1281" s="0" t="str">
        <f aca="false">TEXT(B1281,"MMM YYYY")</f>
        <v>Jan 2026</v>
      </c>
    </row>
    <row r="1282" customFormat="false" ht="15" hidden="false" customHeight="false" outlineLevel="0" collapsed="false">
      <c r="A1282" s="0" t="s">
        <v>3259</v>
      </c>
      <c r="B1282" s="4" t="n">
        <v>46045</v>
      </c>
      <c r="C1282" s="0" t="s">
        <v>195</v>
      </c>
      <c r="D1282" s="0" t="n">
        <v>6</v>
      </c>
      <c r="E1282" s="0" t="s">
        <v>3260</v>
      </c>
      <c r="F1282" s="3" t="n">
        <f aca="false">D1282*_xlfn.XLOOKUP(C1282,Item_Master!A:A,Item_Master!G:G)</f>
        <v>8820</v>
      </c>
      <c r="G1282" s="0" t="str">
        <f aca="false">TEXT(B1282,"MMM YYYY")</f>
        <v>Jan 2026</v>
      </c>
    </row>
    <row r="1283" customFormat="false" ht="15" hidden="false" customHeight="false" outlineLevel="0" collapsed="false">
      <c r="A1283" s="0" t="s">
        <v>3261</v>
      </c>
      <c r="B1283" s="4" t="n">
        <v>46045</v>
      </c>
      <c r="C1283" s="0" t="s">
        <v>334</v>
      </c>
      <c r="D1283" s="0" t="n">
        <v>21</v>
      </c>
      <c r="E1283" s="0" t="s">
        <v>3262</v>
      </c>
      <c r="F1283" s="3" t="n">
        <f aca="false">D1283*_xlfn.XLOOKUP(C1283,Item_Master!A:A,Item_Master!G:G)</f>
        <v>9240</v>
      </c>
      <c r="G1283" s="0" t="str">
        <f aca="false">TEXT(B1283,"MMM YYYY")</f>
        <v>Jan 2026</v>
      </c>
    </row>
    <row r="1284" customFormat="false" ht="15" hidden="false" customHeight="false" outlineLevel="0" collapsed="false">
      <c r="A1284" s="0" t="s">
        <v>3263</v>
      </c>
      <c r="B1284" s="4" t="n">
        <v>46045</v>
      </c>
      <c r="C1284" s="0" t="s">
        <v>351</v>
      </c>
      <c r="D1284" s="0" t="n">
        <v>17</v>
      </c>
      <c r="E1284" s="0" t="s">
        <v>3264</v>
      </c>
      <c r="F1284" s="3" t="n">
        <f aca="false">D1284*_xlfn.XLOOKUP(C1284,Item_Master!A:A,Item_Master!G:G)</f>
        <v>30260</v>
      </c>
      <c r="G1284" s="0" t="str">
        <f aca="false">TEXT(B1284,"MMM YYYY")</f>
        <v>Jan 2026</v>
      </c>
    </row>
    <row r="1285" customFormat="false" ht="15" hidden="false" customHeight="false" outlineLevel="0" collapsed="false">
      <c r="A1285" s="0" t="s">
        <v>3265</v>
      </c>
      <c r="B1285" s="4" t="n">
        <v>46045</v>
      </c>
      <c r="C1285" s="0" t="s">
        <v>357</v>
      </c>
      <c r="D1285" s="0" t="n">
        <v>19</v>
      </c>
      <c r="E1285" s="0" t="s">
        <v>3266</v>
      </c>
      <c r="F1285" s="3" t="n">
        <f aca="false">D1285*_xlfn.XLOOKUP(C1285,Item_Master!A:A,Item_Master!G:G)</f>
        <v>208430</v>
      </c>
      <c r="G1285" s="0" t="str">
        <f aca="false">TEXT(B1285,"MMM YYYY")</f>
        <v>Jan 2026</v>
      </c>
    </row>
    <row r="1286" customFormat="false" ht="15" hidden="false" customHeight="false" outlineLevel="0" collapsed="false">
      <c r="A1286" s="0" t="s">
        <v>3267</v>
      </c>
      <c r="B1286" s="4" t="n">
        <v>46045</v>
      </c>
      <c r="C1286" s="0" t="s">
        <v>364</v>
      </c>
      <c r="D1286" s="0" t="n">
        <v>6</v>
      </c>
      <c r="E1286" s="0" t="s">
        <v>3268</v>
      </c>
      <c r="F1286" s="3" t="n">
        <f aca="false">D1286*_xlfn.XLOOKUP(C1286,Item_Master!A:A,Item_Master!G:G)</f>
        <v>21420</v>
      </c>
      <c r="G1286" s="0" t="str">
        <f aca="false">TEXT(B1286,"MMM YYYY")</f>
        <v>Jan 2026</v>
      </c>
    </row>
    <row r="1287" customFormat="false" ht="15" hidden="false" customHeight="false" outlineLevel="0" collapsed="false">
      <c r="A1287" s="0" t="s">
        <v>3269</v>
      </c>
      <c r="B1287" s="4" t="n">
        <v>46045</v>
      </c>
      <c r="C1287" s="0" t="s">
        <v>498</v>
      </c>
      <c r="D1287" s="0" t="n">
        <v>1</v>
      </c>
      <c r="E1287" s="0" t="s">
        <v>3270</v>
      </c>
      <c r="F1287" s="3" t="n">
        <f aca="false">D1287*_xlfn.XLOOKUP(C1287,Item_Master!A:A,Item_Master!G:G)</f>
        <v>2950</v>
      </c>
      <c r="G1287" s="0" t="str">
        <f aca="false">TEXT(B1287,"MMM YYYY")</f>
        <v>Jan 2026</v>
      </c>
    </row>
    <row r="1288" customFormat="false" ht="15" hidden="false" customHeight="false" outlineLevel="0" collapsed="false">
      <c r="A1288" s="0" t="s">
        <v>3271</v>
      </c>
      <c r="B1288" s="4" t="n">
        <v>46045</v>
      </c>
      <c r="C1288" s="0" t="s">
        <v>518</v>
      </c>
      <c r="D1288" s="0" t="n">
        <v>22</v>
      </c>
      <c r="E1288" s="0" t="s">
        <v>3272</v>
      </c>
      <c r="F1288" s="3" t="n">
        <f aca="false">D1288*_xlfn.XLOOKUP(C1288,Item_Master!A:A,Item_Master!G:G)</f>
        <v>72380</v>
      </c>
      <c r="G1288" s="0" t="str">
        <f aca="false">TEXT(B1288,"MMM YYYY")</f>
        <v>Jan 2026</v>
      </c>
    </row>
    <row r="1289" customFormat="false" ht="15" hidden="false" customHeight="false" outlineLevel="0" collapsed="false">
      <c r="A1289" s="0" t="s">
        <v>3273</v>
      </c>
      <c r="B1289" s="4" t="n">
        <v>46045</v>
      </c>
      <c r="C1289" s="0" t="s">
        <v>586</v>
      </c>
      <c r="D1289" s="0" t="n">
        <v>6</v>
      </c>
      <c r="E1289" s="0" t="s">
        <v>3274</v>
      </c>
      <c r="F1289" s="3" t="n">
        <f aca="false">D1289*_xlfn.XLOOKUP(C1289,Item_Master!A:A,Item_Master!G:G)</f>
        <v>10200</v>
      </c>
      <c r="G1289" s="0" t="str">
        <f aca="false">TEXT(B1289,"MMM YYYY")</f>
        <v>Jan 2026</v>
      </c>
    </row>
    <row r="1290" customFormat="false" ht="15" hidden="false" customHeight="false" outlineLevel="0" collapsed="false">
      <c r="A1290" s="0" t="s">
        <v>3275</v>
      </c>
      <c r="B1290" s="4" t="n">
        <v>46045</v>
      </c>
      <c r="C1290" s="0" t="s">
        <v>614</v>
      </c>
      <c r="D1290" s="0" t="n">
        <v>15</v>
      </c>
      <c r="E1290" s="0" t="s">
        <v>3276</v>
      </c>
      <c r="F1290" s="3" t="n">
        <f aca="false">D1290*_xlfn.XLOOKUP(C1290,Item_Master!A:A,Item_Master!G:G)</f>
        <v>29700</v>
      </c>
      <c r="G1290" s="0" t="str">
        <f aca="false">TEXT(B1290,"MMM YYYY")</f>
        <v>Jan 2026</v>
      </c>
    </row>
    <row r="1291" customFormat="false" ht="15" hidden="false" customHeight="false" outlineLevel="0" collapsed="false">
      <c r="A1291" s="0" t="s">
        <v>3277</v>
      </c>
      <c r="B1291" s="4" t="n">
        <v>46045</v>
      </c>
      <c r="C1291" s="0" t="s">
        <v>706</v>
      </c>
      <c r="D1291" s="0" t="n">
        <v>2</v>
      </c>
      <c r="E1291" s="0" t="s">
        <v>3278</v>
      </c>
      <c r="F1291" s="3" t="n">
        <f aca="false">D1291*_xlfn.XLOOKUP(C1291,Item_Master!A:A,Item_Master!G:G)</f>
        <v>2460</v>
      </c>
      <c r="G1291" s="0" t="str">
        <f aca="false">TEXT(B1291,"MMM YYYY")</f>
        <v>Jan 2026</v>
      </c>
    </row>
    <row r="1292" customFormat="false" ht="15" hidden="false" customHeight="false" outlineLevel="0" collapsed="false">
      <c r="A1292" s="0" t="s">
        <v>3279</v>
      </c>
      <c r="B1292" s="4" t="n">
        <v>46046</v>
      </c>
      <c r="C1292" s="0" t="s">
        <v>81</v>
      </c>
      <c r="D1292" s="0" t="n">
        <v>25</v>
      </c>
      <c r="E1292" s="0" t="s">
        <v>3280</v>
      </c>
      <c r="F1292" s="3" t="n">
        <f aca="false">D1292*_xlfn.XLOOKUP(C1292,Item_Master!A:A,Item_Master!G:G)</f>
        <v>70500</v>
      </c>
      <c r="G1292" s="0" t="str">
        <f aca="false">TEXT(B1292,"MMM YYYY")</f>
        <v>Jan 2026</v>
      </c>
    </row>
    <row r="1293" customFormat="false" ht="15" hidden="false" customHeight="false" outlineLevel="0" collapsed="false">
      <c r="A1293" s="0" t="s">
        <v>3281</v>
      </c>
      <c r="B1293" s="4" t="n">
        <v>46046</v>
      </c>
      <c r="C1293" s="0" t="s">
        <v>87</v>
      </c>
      <c r="D1293" s="0" t="n">
        <v>27</v>
      </c>
      <c r="E1293" s="0" t="s">
        <v>3282</v>
      </c>
      <c r="F1293" s="3" t="n">
        <f aca="false">D1293*_xlfn.XLOOKUP(C1293,Item_Master!A:A,Item_Master!G:G)</f>
        <v>53730</v>
      </c>
      <c r="G1293" s="0" t="str">
        <f aca="false">TEXT(B1293,"MMM YYYY")</f>
        <v>Jan 2026</v>
      </c>
    </row>
    <row r="1294" customFormat="false" ht="15" hidden="false" customHeight="false" outlineLevel="0" collapsed="false">
      <c r="A1294" s="0" t="s">
        <v>3283</v>
      </c>
      <c r="B1294" s="4" t="n">
        <v>46046</v>
      </c>
      <c r="C1294" s="0" t="s">
        <v>174</v>
      </c>
      <c r="D1294" s="0" t="n">
        <v>32</v>
      </c>
      <c r="E1294" s="0" t="s">
        <v>3284</v>
      </c>
      <c r="F1294" s="3" t="n">
        <f aca="false">D1294*_xlfn.XLOOKUP(C1294,Item_Master!A:A,Item_Master!G:G)</f>
        <v>15360</v>
      </c>
      <c r="G1294" s="0" t="str">
        <f aca="false">TEXT(B1294,"MMM YYYY")</f>
        <v>Jan 2026</v>
      </c>
    </row>
    <row r="1295" customFormat="false" ht="15" hidden="false" customHeight="false" outlineLevel="0" collapsed="false">
      <c r="A1295" s="0" t="s">
        <v>3285</v>
      </c>
      <c r="B1295" s="4" t="n">
        <v>46046</v>
      </c>
      <c r="C1295" s="0" t="s">
        <v>185</v>
      </c>
      <c r="D1295" s="0" t="n">
        <v>31</v>
      </c>
      <c r="E1295" s="0" t="s">
        <v>3286</v>
      </c>
      <c r="F1295" s="3" t="n">
        <f aca="false">D1295*_xlfn.XLOOKUP(C1295,Item_Master!A:A,Item_Master!G:G)</f>
        <v>58590</v>
      </c>
      <c r="G1295" s="0" t="str">
        <f aca="false">TEXT(B1295,"MMM YYYY")</f>
        <v>Jan 2026</v>
      </c>
    </row>
    <row r="1296" customFormat="false" ht="15" hidden="false" customHeight="false" outlineLevel="0" collapsed="false">
      <c r="A1296" s="0" t="s">
        <v>3287</v>
      </c>
      <c r="B1296" s="4" t="n">
        <v>46046</v>
      </c>
      <c r="C1296" s="0" t="s">
        <v>430</v>
      </c>
      <c r="D1296" s="0" t="n">
        <v>36</v>
      </c>
      <c r="E1296" s="0" t="s">
        <v>3288</v>
      </c>
      <c r="F1296" s="3" t="n">
        <f aca="false">D1296*_xlfn.XLOOKUP(C1296,Item_Master!A:A,Item_Master!G:G)</f>
        <v>83880</v>
      </c>
      <c r="G1296" s="0" t="str">
        <f aca="false">TEXT(B1296,"MMM YYYY")</f>
        <v>Jan 2026</v>
      </c>
    </row>
    <row r="1297" customFormat="false" ht="15" hidden="false" customHeight="false" outlineLevel="0" collapsed="false">
      <c r="A1297" s="0" t="s">
        <v>3289</v>
      </c>
      <c r="B1297" s="4" t="n">
        <v>46046</v>
      </c>
      <c r="C1297" s="0" t="s">
        <v>461</v>
      </c>
      <c r="D1297" s="0" t="n">
        <v>10</v>
      </c>
      <c r="E1297" s="0" t="s">
        <v>3290</v>
      </c>
      <c r="F1297" s="3" t="n">
        <f aca="false">D1297*_xlfn.XLOOKUP(C1297,Item_Master!A:A,Item_Master!G:G)</f>
        <v>15300</v>
      </c>
      <c r="G1297" s="0" t="str">
        <f aca="false">TEXT(B1297,"MMM YYYY")</f>
        <v>Jan 2026</v>
      </c>
    </row>
    <row r="1298" customFormat="false" ht="15" hidden="false" customHeight="false" outlineLevel="0" collapsed="false">
      <c r="A1298" s="0" t="s">
        <v>3291</v>
      </c>
      <c r="B1298" s="4" t="n">
        <v>46046</v>
      </c>
      <c r="C1298" s="0" t="s">
        <v>523</v>
      </c>
      <c r="D1298" s="0" t="n">
        <v>2</v>
      </c>
      <c r="E1298" s="0" t="s">
        <v>3292</v>
      </c>
      <c r="F1298" s="3" t="n">
        <f aca="false">D1298*_xlfn.XLOOKUP(C1298,Item_Master!A:A,Item_Master!G:G)</f>
        <v>5940</v>
      </c>
      <c r="G1298" s="0" t="str">
        <f aca="false">TEXT(B1298,"MMM YYYY")</f>
        <v>Jan 2026</v>
      </c>
    </row>
    <row r="1299" customFormat="false" ht="15" hidden="false" customHeight="false" outlineLevel="0" collapsed="false">
      <c r="A1299" s="0" t="s">
        <v>3293</v>
      </c>
      <c r="B1299" s="4" t="n">
        <v>46046</v>
      </c>
      <c r="C1299" s="0" t="s">
        <v>577</v>
      </c>
      <c r="D1299" s="0" t="n">
        <v>1</v>
      </c>
      <c r="E1299" s="0" t="s">
        <v>3294</v>
      </c>
      <c r="F1299" s="3" t="n">
        <f aca="false">D1299*_xlfn.XLOOKUP(C1299,Item_Master!A:A,Item_Master!G:G)</f>
        <v>1390</v>
      </c>
      <c r="G1299" s="0" t="str">
        <f aca="false">TEXT(B1299,"MMM YYYY")</f>
        <v>Jan 2026</v>
      </c>
    </row>
    <row r="1300" customFormat="false" ht="15" hidden="false" customHeight="false" outlineLevel="0" collapsed="false">
      <c r="A1300" s="0" t="s">
        <v>3295</v>
      </c>
      <c r="B1300" s="4" t="n">
        <v>46046</v>
      </c>
      <c r="C1300" s="0" t="s">
        <v>669</v>
      </c>
      <c r="D1300" s="0" t="n">
        <v>4</v>
      </c>
      <c r="E1300" s="0" t="s">
        <v>3296</v>
      </c>
      <c r="F1300" s="3" t="n">
        <f aca="false">D1300*_xlfn.XLOOKUP(C1300,Item_Master!A:A,Item_Master!G:G)</f>
        <v>9480</v>
      </c>
      <c r="G1300" s="0" t="str">
        <f aca="false">TEXT(B1300,"MMM YYYY")</f>
        <v>Jan 2026</v>
      </c>
    </row>
    <row r="1301" customFormat="false" ht="15" hidden="false" customHeight="false" outlineLevel="0" collapsed="false">
      <c r="A1301" s="0" t="s">
        <v>3297</v>
      </c>
      <c r="B1301" s="4" t="n">
        <v>46047</v>
      </c>
      <c r="C1301" s="0" t="s">
        <v>95</v>
      </c>
      <c r="D1301" s="0" t="n">
        <v>6</v>
      </c>
      <c r="E1301" s="0" t="s">
        <v>3298</v>
      </c>
      <c r="F1301" s="3" t="n">
        <f aca="false">D1301*_xlfn.XLOOKUP(C1301,Item_Master!A:A,Item_Master!G:G)</f>
        <v>21840</v>
      </c>
      <c r="G1301" s="0" t="str">
        <f aca="false">TEXT(B1301,"MMM YYYY")</f>
        <v>Jan 2026</v>
      </c>
    </row>
    <row r="1302" customFormat="false" ht="15" hidden="false" customHeight="false" outlineLevel="0" collapsed="false">
      <c r="A1302" s="0" t="s">
        <v>3299</v>
      </c>
      <c r="B1302" s="4" t="n">
        <v>46047</v>
      </c>
      <c r="C1302" s="0" t="s">
        <v>176</v>
      </c>
      <c r="D1302" s="0" t="n">
        <v>10</v>
      </c>
      <c r="E1302" s="0" t="s">
        <v>3300</v>
      </c>
      <c r="F1302" s="3" t="n">
        <f aca="false">D1302*_xlfn.XLOOKUP(C1302,Item_Master!A:A,Item_Master!G:G)</f>
        <v>176000</v>
      </c>
      <c r="G1302" s="0" t="str">
        <f aca="false">TEXT(B1302,"MMM YYYY")</f>
        <v>Jan 2026</v>
      </c>
    </row>
    <row r="1303" customFormat="false" ht="15" hidden="false" customHeight="false" outlineLevel="0" collapsed="false">
      <c r="A1303" s="0" t="s">
        <v>3301</v>
      </c>
      <c r="B1303" s="4" t="n">
        <v>46047</v>
      </c>
      <c r="C1303" s="0" t="s">
        <v>204</v>
      </c>
      <c r="D1303" s="0" t="n">
        <v>38</v>
      </c>
      <c r="E1303" s="0" t="s">
        <v>3302</v>
      </c>
      <c r="F1303" s="3" t="n">
        <f aca="false">D1303*_xlfn.XLOOKUP(C1303,Item_Master!A:A,Item_Master!G:G)</f>
        <v>53580</v>
      </c>
      <c r="G1303" s="0" t="str">
        <f aca="false">TEXT(B1303,"MMM YYYY")</f>
        <v>Jan 2026</v>
      </c>
    </row>
    <row r="1304" customFormat="false" ht="15" hidden="false" customHeight="false" outlineLevel="0" collapsed="false">
      <c r="A1304" s="0" t="s">
        <v>3303</v>
      </c>
      <c r="B1304" s="4" t="n">
        <v>46047</v>
      </c>
      <c r="C1304" s="0" t="s">
        <v>209</v>
      </c>
      <c r="D1304" s="0" t="n">
        <v>37</v>
      </c>
      <c r="E1304" s="0" t="s">
        <v>3304</v>
      </c>
      <c r="F1304" s="3" t="n">
        <f aca="false">D1304*_xlfn.XLOOKUP(C1304,Item_Master!A:A,Item_Master!G:G)</f>
        <v>40330</v>
      </c>
      <c r="G1304" s="0" t="str">
        <f aca="false">TEXT(B1304,"MMM YYYY")</f>
        <v>Jan 2026</v>
      </c>
    </row>
    <row r="1305" customFormat="false" ht="15" hidden="false" customHeight="false" outlineLevel="0" collapsed="false">
      <c r="A1305" s="0" t="s">
        <v>3305</v>
      </c>
      <c r="B1305" s="4" t="n">
        <v>46047</v>
      </c>
      <c r="C1305" s="0" t="s">
        <v>343</v>
      </c>
      <c r="D1305" s="0" t="n">
        <v>6</v>
      </c>
      <c r="E1305" s="0" t="s">
        <v>3306</v>
      </c>
      <c r="F1305" s="3" t="n">
        <f aca="false">D1305*_xlfn.XLOOKUP(C1305,Item_Master!A:A,Item_Master!G:G)</f>
        <v>10500</v>
      </c>
      <c r="G1305" s="0" t="str">
        <f aca="false">TEXT(B1305,"MMM YYYY")</f>
        <v>Jan 2026</v>
      </c>
    </row>
    <row r="1306" customFormat="false" ht="15" hidden="false" customHeight="false" outlineLevel="0" collapsed="false">
      <c r="A1306" s="0" t="s">
        <v>3307</v>
      </c>
      <c r="B1306" s="4" t="n">
        <v>46047</v>
      </c>
      <c r="C1306" s="0" t="s">
        <v>349</v>
      </c>
      <c r="D1306" s="0" t="n">
        <v>1</v>
      </c>
      <c r="E1306" s="0" t="s">
        <v>3308</v>
      </c>
      <c r="F1306" s="3" t="n">
        <f aca="false">D1306*_xlfn.XLOOKUP(C1306,Item_Master!A:A,Item_Master!G:G)</f>
        <v>2830</v>
      </c>
      <c r="G1306" s="0" t="str">
        <f aca="false">TEXT(B1306,"MMM YYYY")</f>
        <v>Jan 2026</v>
      </c>
    </row>
    <row r="1307" customFormat="false" ht="15" hidden="false" customHeight="false" outlineLevel="0" collapsed="false">
      <c r="A1307" s="0" t="s">
        <v>3309</v>
      </c>
      <c r="B1307" s="4" t="n">
        <v>46047</v>
      </c>
      <c r="C1307" s="0" t="s">
        <v>361</v>
      </c>
      <c r="D1307" s="0" t="n">
        <v>26</v>
      </c>
      <c r="E1307" s="0" t="s">
        <v>3310</v>
      </c>
      <c r="F1307" s="3" t="n">
        <f aca="false">D1307*_xlfn.XLOOKUP(C1307,Item_Master!A:A,Item_Master!G:G)</f>
        <v>65000</v>
      </c>
      <c r="G1307" s="0" t="str">
        <f aca="false">TEXT(B1307,"MMM YYYY")</f>
        <v>Jan 2026</v>
      </c>
    </row>
    <row r="1308" customFormat="false" ht="15" hidden="false" customHeight="false" outlineLevel="0" collapsed="false">
      <c r="A1308" s="0" t="s">
        <v>3311</v>
      </c>
      <c r="B1308" s="4" t="n">
        <v>46047</v>
      </c>
      <c r="C1308" s="0" t="s">
        <v>416</v>
      </c>
      <c r="D1308" s="0" t="n">
        <v>19</v>
      </c>
      <c r="E1308" s="0" t="s">
        <v>3312</v>
      </c>
      <c r="F1308" s="3" t="n">
        <f aca="false">D1308*_xlfn.XLOOKUP(C1308,Item_Master!A:A,Item_Master!G:G)</f>
        <v>29450</v>
      </c>
      <c r="G1308" s="0" t="str">
        <f aca="false">TEXT(B1308,"MMM YYYY")</f>
        <v>Jan 2026</v>
      </c>
    </row>
    <row r="1309" customFormat="false" ht="15" hidden="false" customHeight="false" outlineLevel="0" collapsed="false">
      <c r="A1309" s="0" t="s">
        <v>3313</v>
      </c>
      <c r="B1309" s="4" t="n">
        <v>46047</v>
      </c>
      <c r="C1309" s="0" t="s">
        <v>474</v>
      </c>
      <c r="D1309" s="0" t="n">
        <v>29</v>
      </c>
      <c r="E1309" s="0" t="s">
        <v>3314</v>
      </c>
      <c r="F1309" s="3" t="n">
        <f aca="false">D1309*_xlfn.XLOOKUP(C1309,Item_Master!A:A,Item_Master!G:G)</f>
        <v>264480</v>
      </c>
      <c r="G1309" s="0" t="str">
        <f aca="false">TEXT(B1309,"MMM YYYY")</f>
        <v>Jan 2026</v>
      </c>
    </row>
    <row r="1310" customFormat="false" ht="15" hidden="false" customHeight="false" outlineLevel="0" collapsed="false">
      <c r="A1310" s="0" t="s">
        <v>3315</v>
      </c>
      <c r="B1310" s="4" t="n">
        <v>46047</v>
      </c>
      <c r="C1310" s="0" t="s">
        <v>569</v>
      </c>
      <c r="D1310" s="0" t="n">
        <v>27</v>
      </c>
      <c r="E1310" s="0" t="s">
        <v>3316</v>
      </c>
      <c r="F1310" s="3" t="n">
        <f aca="false">D1310*_xlfn.XLOOKUP(C1310,Item_Master!A:A,Item_Master!G:G)</f>
        <v>48060</v>
      </c>
      <c r="G1310" s="0" t="str">
        <f aca="false">TEXT(B1310,"MMM YYYY")</f>
        <v>Jan 2026</v>
      </c>
    </row>
    <row r="1311" customFormat="false" ht="15" hidden="false" customHeight="false" outlineLevel="0" collapsed="false">
      <c r="A1311" s="0" t="s">
        <v>3317</v>
      </c>
      <c r="B1311" s="4" t="n">
        <v>46047</v>
      </c>
      <c r="C1311" s="0" t="s">
        <v>579</v>
      </c>
      <c r="D1311" s="0" t="n">
        <v>38</v>
      </c>
      <c r="E1311" s="0" t="s">
        <v>3318</v>
      </c>
      <c r="F1311" s="3" t="n">
        <f aca="false">D1311*_xlfn.XLOOKUP(C1311,Item_Master!A:A,Item_Master!G:G)</f>
        <v>71440</v>
      </c>
      <c r="G1311" s="0" t="str">
        <f aca="false">TEXT(B1311,"MMM YYYY")</f>
        <v>Jan 2026</v>
      </c>
    </row>
    <row r="1312" customFormat="false" ht="15" hidden="false" customHeight="false" outlineLevel="0" collapsed="false">
      <c r="A1312" s="0" t="s">
        <v>3319</v>
      </c>
      <c r="B1312" s="4" t="n">
        <v>46048</v>
      </c>
      <c r="C1312" s="0" t="s">
        <v>8</v>
      </c>
      <c r="D1312" s="0" t="n">
        <v>7</v>
      </c>
      <c r="E1312" s="0" t="s">
        <v>3320</v>
      </c>
      <c r="F1312" s="3" t="n">
        <f aca="false">D1312*_xlfn.XLOOKUP(C1312,Item_Master!A:A,Item_Master!G:G)</f>
        <v>15120</v>
      </c>
      <c r="G1312" s="0" t="str">
        <f aca="false">TEXT(B1312,"MMM YYYY")</f>
        <v>Jan 2026</v>
      </c>
    </row>
    <row r="1313" customFormat="false" ht="15" hidden="false" customHeight="false" outlineLevel="0" collapsed="false">
      <c r="A1313" s="0" t="s">
        <v>3321</v>
      </c>
      <c r="B1313" s="4" t="n">
        <v>46048</v>
      </c>
      <c r="C1313" s="0" t="s">
        <v>160</v>
      </c>
      <c r="D1313" s="0" t="n">
        <v>30</v>
      </c>
      <c r="E1313" s="0" t="s">
        <v>3322</v>
      </c>
      <c r="F1313" s="3" t="n">
        <f aca="false">D1313*_xlfn.XLOOKUP(C1313,Item_Master!A:A,Item_Master!G:G)</f>
        <v>23100</v>
      </c>
      <c r="G1313" s="0" t="str">
        <f aca="false">TEXT(B1313,"MMM YYYY")</f>
        <v>Jan 2026</v>
      </c>
    </row>
    <row r="1314" customFormat="false" ht="15" hidden="false" customHeight="false" outlineLevel="0" collapsed="false">
      <c r="A1314" s="0" t="s">
        <v>3323</v>
      </c>
      <c r="B1314" s="4" t="n">
        <v>46048</v>
      </c>
      <c r="C1314" s="0" t="s">
        <v>253</v>
      </c>
      <c r="D1314" s="0" t="n">
        <v>22</v>
      </c>
      <c r="E1314" s="0" t="s">
        <v>3324</v>
      </c>
      <c r="F1314" s="3" t="n">
        <f aca="false">D1314*_xlfn.XLOOKUP(C1314,Item_Master!A:A,Item_Master!G:G)</f>
        <v>78980</v>
      </c>
      <c r="G1314" s="0" t="str">
        <f aca="false">TEXT(B1314,"MMM YYYY")</f>
        <v>Jan 2026</v>
      </c>
    </row>
    <row r="1315" customFormat="false" ht="15" hidden="false" customHeight="false" outlineLevel="0" collapsed="false">
      <c r="A1315" s="0" t="s">
        <v>3325</v>
      </c>
      <c r="B1315" s="4" t="n">
        <v>46048</v>
      </c>
      <c r="C1315" s="0" t="s">
        <v>279</v>
      </c>
      <c r="D1315" s="0" t="n">
        <v>8</v>
      </c>
      <c r="E1315" s="0" t="s">
        <v>3326</v>
      </c>
      <c r="F1315" s="3" t="n">
        <f aca="false">D1315*_xlfn.XLOOKUP(C1315,Item_Master!A:A,Item_Master!G:G)</f>
        <v>103760</v>
      </c>
      <c r="G1315" s="0" t="str">
        <f aca="false">TEXT(B1315,"MMM YYYY")</f>
        <v>Jan 2026</v>
      </c>
    </row>
    <row r="1316" customFormat="false" ht="15" hidden="false" customHeight="false" outlineLevel="0" collapsed="false">
      <c r="A1316" s="0" t="s">
        <v>3327</v>
      </c>
      <c r="B1316" s="4" t="n">
        <v>46048</v>
      </c>
      <c r="C1316" s="0" t="s">
        <v>289</v>
      </c>
      <c r="D1316" s="0" t="n">
        <v>4</v>
      </c>
      <c r="E1316" s="0" t="s">
        <v>3328</v>
      </c>
      <c r="F1316" s="3" t="n">
        <f aca="false">D1316*_xlfn.XLOOKUP(C1316,Item_Master!A:A,Item_Master!G:G)</f>
        <v>12000</v>
      </c>
      <c r="G1316" s="0" t="str">
        <f aca="false">TEXT(B1316,"MMM YYYY")</f>
        <v>Jan 2026</v>
      </c>
    </row>
    <row r="1317" customFormat="false" ht="15" hidden="false" customHeight="false" outlineLevel="0" collapsed="false">
      <c r="A1317" s="0" t="s">
        <v>3329</v>
      </c>
      <c r="B1317" s="4" t="n">
        <v>46048</v>
      </c>
      <c r="C1317" s="0" t="s">
        <v>324</v>
      </c>
      <c r="D1317" s="0" t="n">
        <v>27</v>
      </c>
      <c r="E1317" s="0" t="s">
        <v>3330</v>
      </c>
      <c r="F1317" s="3" t="n">
        <f aca="false">D1317*_xlfn.XLOOKUP(C1317,Item_Master!A:A,Item_Master!G:G)</f>
        <v>539460</v>
      </c>
      <c r="G1317" s="0" t="str">
        <f aca="false">TEXT(B1317,"MMM YYYY")</f>
        <v>Jan 2026</v>
      </c>
    </row>
    <row r="1318" customFormat="false" ht="15" hidden="false" customHeight="false" outlineLevel="0" collapsed="false">
      <c r="A1318" s="0" t="s">
        <v>3331</v>
      </c>
      <c r="B1318" s="4" t="n">
        <v>46048</v>
      </c>
      <c r="C1318" s="0" t="s">
        <v>368</v>
      </c>
      <c r="D1318" s="0" t="n">
        <v>21</v>
      </c>
      <c r="E1318" s="0" t="s">
        <v>3332</v>
      </c>
      <c r="F1318" s="3" t="n">
        <f aca="false">D1318*_xlfn.XLOOKUP(C1318,Item_Master!A:A,Item_Master!G:G)</f>
        <v>31080</v>
      </c>
      <c r="G1318" s="0" t="str">
        <f aca="false">TEXT(B1318,"MMM YYYY")</f>
        <v>Jan 2026</v>
      </c>
    </row>
    <row r="1319" customFormat="false" ht="15" hidden="false" customHeight="false" outlineLevel="0" collapsed="false">
      <c r="A1319" s="0" t="s">
        <v>3333</v>
      </c>
      <c r="B1319" s="4" t="n">
        <v>46048</v>
      </c>
      <c r="C1319" s="0" t="s">
        <v>453</v>
      </c>
      <c r="D1319" s="0" t="n">
        <v>16</v>
      </c>
      <c r="E1319" s="0" t="s">
        <v>3334</v>
      </c>
      <c r="F1319" s="3" t="n">
        <f aca="false">D1319*_xlfn.XLOOKUP(C1319,Item_Master!A:A,Item_Master!G:G)</f>
        <v>35040</v>
      </c>
      <c r="G1319" s="0" t="str">
        <f aca="false">TEXT(B1319,"MMM YYYY")</f>
        <v>Jan 2026</v>
      </c>
    </row>
    <row r="1320" customFormat="false" ht="15" hidden="false" customHeight="false" outlineLevel="0" collapsed="false">
      <c r="A1320" s="0" t="s">
        <v>3335</v>
      </c>
      <c r="B1320" s="4" t="n">
        <v>46048</v>
      </c>
      <c r="C1320" s="0" t="s">
        <v>465</v>
      </c>
      <c r="D1320" s="0" t="n">
        <v>1</v>
      </c>
      <c r="E1320" s="0" t="s">
        <v>3336</v>
      </c>
      <c r="F1320" s="3" t="n">
        <f aca="false">D1320*_xlfn.XLOOKUP(C1320,Item_Master!A:A,Item_Master!G:G)</f>
        <v>2260</v>
      </c>
      <c r="G1320" s="0" t="str">
        <f aca="false">TEXT(B1320,"MMM YYYY")</f>
        <v>Jan 2026</v>
      </c>
    </row>
    <row r="1321" customFormat="false" ht="15" hidden="false" customHeight="false" outlineLevel="0" collapsed="false">
      <c r="A1321" s="0" t="s">
        <v>3337</v>
      </c>
      <c r="B1321" s="4" t="n">
        <v>46048</v>
      </c>
      <c r="C1321" s="0" t="s">
        <v>476</v>
      </c>
      <c r="D1321" s="0" t="n">
        <v>3</v>
      </c>
      <c r="E1321" s="0" t="s">
        <v>3338</v>
      </c>
      <c r="F1321" s="3" t="n">
        <f aca="false">D1321*_xlfn.XLOOKUP(C1321,Item_Master!A:A,Item_Master!G:G)</f>
        <v>1830</v>
      </c>
      <c r="G1321" s="0" t="str">
        <f aca="false">TEXT(B1321,"MMM YYYY")</f>
        <v>Jan 2026</v>
      </c>
    </row>
    <row r="1322" customFormat="false" ht="15" hidden="false" customHeight="false" outlineLevel="0" collapsed="false">
      <c r="A1322" s="0" t="s">
        <v>3339</v>
      </c>
      <c r="B1322" s="4" t="n">
        <v>46048</v>
      </c>
      <c r="C1322" s="0" t="s">
        <v>559</v>
      </c>
      <c r="D1322" s="0" t="n">
        <v>29</v>
      </c>
      <c r="E1322" s="0" t="s">
        <v>3340</v>
      </c>
      <c r="F1322" s="3" t="n">
        <f aca="false">D1322*_xlfn.XLOOKUP(C1322,Item_Master!A:A,Item_Master!G:G)</f>
        <v>257230</v>
      </c>
      <c r="G1322" s="0" t="str">
        <f aca="false">TEXT(B1322,"MMM YYYY")</f>
        <v>Jan 2026</v>
      </c>
    </row>
    <row r="1323" customFormat="false" ht="15" hidden="false" customHeight="false" outlineLevel="0" collapsed="false">
      <c r="A1323" s="0" t="s">
        <v>3341</v>
      </c>
      <c r="B1323" s="4" t="n">
        <v>46048</v>
      </c>
      <c r="C1323" s="0" t="s">
        <v>569</v>
      </c>
      <c r="D1323" s="0" t="n">
        <v>10</v>
      </c>
      <c r="E1323" s="0" t="s">
        <v>3342</v>
      </c>
      <c r="F1323" s="3" t="n">
        <f aca="false">D1323*_xlfn.XLOOKUP(C1323,Item_Master!A:A,Item_Master!G:G)</f>
        <v>17800</v>
      </c>
      <c r="G1323" s="0" t="str">
        <f aca="false">TEXT(B1323,"MMM YYYY")</f>
        <v>Jan 2026</v>
      </c>
    </row>
    <row r="1324" customFormat="false" ht="15" hidden="false" customHeight="false" outlineLevel="0" collapsed="false">
      <c r="A1324" s="0" t="s">
        <v>3343</v>
      </c>
      <c r="B1324" s="4" t="n">
        <v>46048</v>
      </c>
      <c r="C1324" s="0" t="s">
        <v>603</v>
      </c>
      <c r="D1324" s="0" t="n">
        <v>11</v>
      </c>
      <c r="E1324" s="0" t="s">
        <v>3344</v>
      </c>
      <c r="F1324" s="3" t="n">
        <f aca="false">D1324*_xlfn.XLOOKUP(C1324,Item_Master!A:A,Item_Master!G:G)</f>
        <v>4950</v>
      </c>
      <c r="G1324" s="0" t="str">
        <f aca="false">TEXT(B1324,"MMM YYYY")</f>
        <v>Jan 2026</v>
      </c>
    </row>
    <row r="1325" customFormat="false" ht="15" hidden="false" customHeight="false" outlineLevel="0" collapsed="false">
      <c r="A1325" s="0" t="s">
        <v>3345</v>
      </c>
      <c r="B1325" s="4" t="n">
        <v>46048</v>
      </c>
      <c r="C1325" s="0" t="s">
        <v>632</v>
      </c>
      <c r="D1325" s="0" t="n">
        <v>29</v>
      </c>
      <c r="E1325" s="0" t="s">
        <v>3346</v>
      </c>
      <c r="F1325" s="3" t="n">
        <f aca="false">D1325*_xlfn.XLOOKUP(C1325,Item_Master!A:A,Item_Master!G:G)</f>
        <v>187050</v>
      </c>
      <c r="G1325" s="0" t="str">
        <f aca="false">TEXT(B1325,"MMM YYYY")</f>
        <v>Jan 2026</v>
      </c>
    </row>
    <row r="1326" customFormat="false" ht="15" hidden="false" customHeight="false" outlineLevel="0" collapsed="false">
      <c r="A1326" s="0" t="s">
        <v>3347</v>
      </c>
      <c r="B1326" s="4" t="n">
        <v>46049</v>
      </c>
      <c r="C1326" s="0" t="s">
        <v>267</v>
      </c>
      <c r="D1326" s="0" t="n">
        <v>8</v>
      </c>
      <c r="E1326" s="0" t="s">
        <v>3348</v>
      </c>
      <c r="F1326" s="3" t="n">
        <f aca="false">D1326*_xlfn.XLOOKUP(C1326,Item_Master!A:A,Item_Master!G:G)</f>
        <v>1360</v>
      </c>
      <c r="G1326" s="0" t="str">
        <f aca="false">TEXT(B1326,"MMM YYYY")</f>
        <v>Jan 2026</v>
      </c>
    </row>
    <row r="1327" customFormat="false" ht="15" hidden="false" customHeight="false" outlineLevel="0" collapsed="false">
      <c r="A1327" s="0" t="s">
        <v>3349</v>
      </c>
      <c r="B1327" s="4" t="n">
        <v>46049</v>
      </c>
      <c r="C1327" s="0" t="s">
        <v>345</v>
      </c>
      <c r="D1327" s="0" t="n">
        <v>12</v>
      </c>
      <c r="E1327" s="0" t="s">
        <v>3350</v>
      </c>
      <c r="F1327" s="3" t="n">
        <f aca="false">D1327*_xlfn.XLOOKUP(C1327,Item_Master!A:A,Item_Master!G:G)</f>
        <v>26880</v>
      </c>
      <c r="G1327" s="0" t="str">
        <f aca="false">TEXT(B1327,"MMM YYYY")</f>
        <v>Jan 2026</v>
      </c>
    </row>
    <row r="1328" customFormat="false" ht="15" hidden="false" customHeight="false" outlineLevel="0" collapsed="false">
      <c r="A1328" s="0" t="s">
        <v>3351</v>
      </c>
      <c r="B1328" s="4" t="n">
        <v>46049</v>
      </c>
      <c r="C1328" s="0" t="s">
        <v>404</v>
      </c>
      <c r="D1328" s="0" t="n">
        <v>21</v>
      </c>
      <c r="E1328" s="0" t="s">
        <v>3352</v>
      </c>
      <c r="F1328" s="3" t="n">
        <f aca="false">D1328*_xlfn.XLOOKUP(C1328,Item_Master!A:A,Item_Master!G:G)</f>
        <v>36960</v>
      </c>
      <c r="G1328" s="0" t="str">
        <f aca="false">TEXT(B1328,"MMM YYYY")</f>
        <v>Jan 2026</v>
      </c>
    </row>
    <row r="1329" customFormat="false" ht="15" hidden="false" customHeight="false" outlineLevel="0" collapsed="false">
      <c r="A1329" s="0" t="s">
        <v>3353</v>
      </c>
      <c r="B1329" s="4" t="n">
        <v>46049</v>
      </c>
      <c r="C1329" s="0" t="s">
        <v>465</v>
      </c>
      <c r="D1329" s="0" t="n">
        <v>12</v>
      </c>
      <c r="E1329" s="0" t="s">
        <v>3354</v>
      </c>
      <c r="F1329" s="3" t="n">
        <f aca="false">D1329*_xlfn.XLOOKUP(C1329,Item_Master!A:A,Item_Master!G:G)</f>
        <v>27120</v>
      </c>
      <c r="G1329" s="0" t="str">
        <f aca="false">TEXT(B1329,"MMM YYYY")</f>
        <v>Jan 2026</v>
      </c>
    </row>
    <row r="1330" customFormat="false" ht="15" hidden="false" customHeight="false" outlineLevel="0" collapsed="false">
      <c r="A1330" s="0" t="s">
        <v>3355</v>
      </c>
      <c r="B1330" s="4" t="n">
        <v>46049</v>
      </c>
      <c r="C1330" s="0" t="s">
        <v>490</v>
      </c>
      <c r="D1330" s="0" t="n">
        <v>19</v>
      </c>
      <c r="E1330" s="0" t="s">
        <v>3356</v>
      </c>
      <c r="F1330" s="3" t="n">
        <f aca="false">D1330*_xlfn.XLOOKUP(C1330,Item_Master!A:A,Item_Master!G:G)</f>
        <v>83980</v>
      </c>
      <c r="G1330" s="0" t="str">
        <f aca="false">TEXT(B1330,"MMM YYYY")</f>
        <v>Jan 2026</v>
      </c>
    </row>
    <row r="1331" customFormat="false" ht="15" hidden="false" customHeight="false" outlineLevel="0" collapsed="false">
      <c r="A1331" s="0" t="s">
        <v>3357</v>
      </c>
      <c r="B1331" s="4" t="n">
        <v>46049</v>
      </c>
      <c r="C1331" s="0" t="s">
        <v>523</v>
      </c>
      <c r="D1331" s="0" t="n">
        <v>26</v>
      </c>
      <c r="E1331" s="0" t="s">
        <v>3358</v>
      </c>
      <c r="F1331" s="3" t="n">
        <f aca="false">D1331*_xlfn.XLOOKUP(C1331,Item_Master!A:A,Item_Master!G:G)</f>
        <v>77220</v>
      </c>
      <c r="G1331" s="0" t="str">
        <f aca="false">TEXT(B1331,"MMM YYYY")</f>
        <v>Jan 2026</v>
      </c>
    </row>
    <row r="1332" customFormat="false" ht="15" hidden="false" customHeight="false" outlineLevel="0" collapsed="false">
      <c r="A1332" s="0" t="s">
        <v>3359</v>
      </c>
      <c r="B1332" s="4" t="n">
        <v>46049</v>
      </c>
      <c r="C1332" s="0" t="s">
        <v>603</v>
      </c>
      <c r="D1332" s="0" t="n">
        <v>5</v>
      </c>
      <c r="E1332" s="0" t="s">
        <v>3360</v>
      </c>
      <c r="F1332" s="3" t="n">
        <f aca="false">D1332*_xlfn.XLOOKUP(C1332,Item_Master!A:A,Item_Master!G:G)</f>
        <v>2250</v>
      </c>
      <c r="G1332" s="0" t="str">
        <f aca="false">TEXT(B1332,"MMM YYYY")</f>
        <v>Jan 2026</v>
      </c>
    </row>
    <row r="1333" customFormat="false" ht="15" hidden="false" customHeight="false" outlineLevel="0" collapsed="false">
      <c r="A1333" s="0" t="s">
        <v>3361</v>
      </c>
      <c r="B1333" s="4" t="n">
        <v>46049</v>
      </c>
      <c r="C1333" s="0" t="s">
        <v>647</v>
      </c>
      <c r="D1333" s="0" t="n">
        <v>7</v>
      </c>
      <c r="E1333" s="0" t="s">
        <v>3362</v>
      </c>
      <c r="F1333" s="3" t="n">
        <f aca="false">D1333*_xlfn.XLOOKUP(C1333,Item_Master!A:A,Item_Master!G:G)</f>
        <v>4410</v>
      </c>
      <c r="G1333" s="0" t="str">
        <f aca="false">TEXT(B1333,"MMM YYYY")</f>
        <v>Jan 2026</v>
      </c>
    </row>
    <row r="1334" customFormat="false" ht="15" hidden="false" customHeight="false" outlineLevel="0" collapsed="false">
      <c r="A1334" s="0" t="s">
        <v>3363</v>
      </c>
      <c r="B1334" s="4" t="n">
        <v>46050</v>
      </c>
      <c r="C1334" s="0" t="s">
        <v>41</v>
      </c>
      <c r="D1334" s="0" t="n">
        <v>27</v>
      </c>
      <c r="E1334" s="0" t="s">
        <v>3364</v>
      </c>
      <c r="F1334" s="3" t="n">
        <f aca="false">D1334*_xlfn.XLOOKUP(C1334,Item_Master!A:A,Item_Master!G:G)</f>
        <v>27540</v>
      </c>
      <c r="G1334" s="0" t="str">
        <f aca="false">TEXT(B1334,"MMM YYYY")</f>
        <v>Jan 2026</v>
      </c>
    </row>
    <row r="1335" customFormat="false" ht="15" hidden="false" customHeight="false" outlineLevel="0" collapsed="false">
      <c r="A1335" s="0" t="s">
        <v>3365</v>
      </c>
      <c r="B1335" s="4" t="n">
        <v>46050</v>
      </c>
      <c r="C1335" s="0" t="s">
        <v>92</v>
      </c>
      <c r="D1335" s="0" t="n">
        <v>12</v>
      </c>
      <c r="E1335" s="0" t="s">
        <v>3366</v>
      </c>
      <c r="F1335" s="3" t="n">
        <f aca="false">D1335*_xlfn.XLOOKUP(C1335,Item_Master!A:A,Item_Master!G:G)</f>
        <v>29160</v>
      </c>
      <c r="G1335" s="0" t="str">
        <f aca="false">TEXT(B1335,"MMM YYYY")</f>
        <v>Jan 2026</v>
      </c>
    </row>
    <row r="1336" customFormat="false" ht="15" hidden="false" customHeight="false" outlineLevel="0" collapsed="false">
      <c r="A1336" s="0" t="s">
        <v>3367</v>
      </c>
      <c r="B1336" s="4" t="n">
        <v>46050</v>
      </c>
      <c r="C1336" s="0" t="s">
        <v>105</v>
      </c>
      <c r="D1336" s="0" t="n">
        <v>18</v>
      </c>
      <c r="E1336" s="0" t="s">
        <v>3368</v>
      </c>
      <c r="F1336" s="3" t="n">
        <f aca="false">D1336*_xlfn.XLOOKUP(C1336,Item_Master!A:A,Item_Master!G:G)</f>
        <v>246960</v>
      </c>
      <c r="G1336" s="0" t="str">
        <f aca="false">TEXT(B1336,"MMM YYYY")</f>
        <v>Jan 2026</v>
      </c>
    </row>
    <row r="1337" customFormat="false" ht="15" hidden="false" customHeight="false" outlineLevel="0" collapsed="false">
      <c r="A1337" s="0" t="s">
        <v>3369</v>
      </c>
      <c r="B1337" s="4" t="n">
        <v>46050</v>
      </c>
      <c r="C1337" s="0" t="s">
        <v>191</v>
      </c>
      <c r="D1337" s="0" t="n">
        <v>23</v>
      </c>
      <c r="E1337" s="0" t="s">
        <v>3370</v>
      </c>
      <c r="F1337" s="3" t="n">
        <f aca="false">D1337*_xlfn.XLOOKUP(C1337,Item_Master!A:A,Item_Master!G:G)</f>
        <v>264040</v>
      </c>
      <c r="G1337" s="0" t="str">
        <f aca="false">TEXT(B1337,"MMM YYYY")</f>
        <v>Jan 2026</v>
      </c>
    </row>
    <row r="1338" customFormat="false" ht="15" hidden="false" customHeight="false" outlineLevel="0" collapsed="false">
      <c r="A1338" s="0" t="s">
        <v>3371</v>
      </c>
      <c r="B1338" s="4" t="n">
        <v>46050</v>
      </c>
      <c r="C1338" s="0" t="s">
        <v>316</v>
      </c>
      <c r="D1338" s="0" t="n">
        <v>14</v>
      </c>
      <c r="E1338" s="0" t="s">
        <v>3372</v>
      </c>
      <c r="F1338" s="3" t="n">
        <f aca="false">D1338*_xlfn.XLOOKUP(C1338,Item_Master!A:A,Item_Master!G:G)</f>
        <v>5600</v>
      </c>
      <c r="G1338" s="0" t="str">
        <f aca="false">TEXT(B1338,"MMM YYYY")</f>
        <v>Jan 2026</v>
      </c>
    </row>
    <row r="1339" customFormat="false" ht="15" hidden="false" customHeight="false" outlineLevel="0" collapsed="false">
      <c r="A1339" s="0" t="s">
        <v>3373</v>
      </c>
      <c r="B1339" s="4" t="n">
        <v>46050</v>
      </c>
      <c r="C1339" s="0" t="s">
        <v>319</v>
      </c>
      <c r="D1339" s="0" t="n">
        <v>18</v>
      </c>
      <c r="E1339" s="0" t="s">
        <v>3374</v>
      </c>
      <c r="F1339" s="3" t="n">
        <f aca="false">D1339*_xlfn.XLOOKUP(C1339,Item_Master!A:A,Item_Master!G:G)</f>
        <v>408780</v>
      </c>
      <c r="G1339" s="0" t="str">
        <f aca="false">TEXT(B1339,"MMM YYYY")</f>
        <v>Jan 2026</v>
      </c>
    </row>
    <row r="1340" customFormat="false" ht="15" hidden="false" customHeight="false" outlineLevel="0" collapsed="false">
      <c r="A1340" s="0" t="s">
        <v>3375</v>
      </c>
      <c r="B1340" s="4" t="n">
        <v>46050</v>
      </c>
      <c r="C1340" s="0" t="s">
        <v>421</v>
      </c>
      <c r="D1340" s="0" t="n">
        <v>1</v>
      </c>
      <c r="E1340" s="0" t="s">
        <v>3376</v>
      </c>
      <c r="F1340" s="3" t="n">
        <f aca="false">D1340*_xlfn.XLOOKUP(C1340,Item_Master!A:A,Item_Master!G:G)</f>
        <v>170</v>
      </c>
      <c r="G1340" s="0" t="str">
        <f aca="false">TEXT(B1340,"MMM YYYY")</f>
        <v>Jan 2026</v>
      </c>
    </row>
    <row r="1341" customFormat="false" ht="15" hidden="false" customHeight="false" outlineLevel="0" collapsed="false">
      <c r="A1341" s="0" t="s">
        <v>3377</v>
      </c>
      <c r="B1341" s="4" t="n">
        <v>46050</v>
      </c>
      <c r="C1341" s="0" t="s">
        <v>531</v>
      </c>
      <c r="D1341" s="0" t="n">
        <v>29</v>
      </c>
      <c r="E1341" s="0" t="s">
        <v>3378</v>
      </c>
      <c r="F1341" s="3" t="n">
        <f aca="false">D1341*_xlfn.XLOOKUP(C1341,Item_Master!A:A,Item_Master!G:G)</f>
        <v>46980</v>
      </c>
      <c r="G1341" s="0" t="str">
        <f aca="false">TEXT(B1341,"MMM YYYY")</f>
        <v>Jan 2026</v>
      </c>
    </row>
    <row r="1342" customFormat="false" ht="15" hidden="false" customHeight="false" outlineLevel="0" collapsed="false">
      <c r="A1342" s="0" t="s">
        <v>3379</v>
      </c>
      <c r="B1342" s="4" t="n">
        <v>46050</v>
      </c>
      <c r="C1342" s="0" t="s">
        <v>622</v>
      </c>
      <c r="D1342" s="0" t="n">
        <v>18</v>
      </c>
      <c r="E1342" s="0" t="s">
        <v>3380</v>
      </c>
      <c r="F1342" s="3" t="n">
        <f aca="false">D1342*_xlfn.XLOOKUP(C1342,Item_Master!A:A,Item_Master!G:G)</f>
        <v>19980</v>
      </c>
      <c r="G1342" s="0" t="str">
        <f aca="false">TEXT(B1342,"MMM YYYY")</f>
        <v>Jan 2026</v>
      </c>
    </row>
    <row r="1343" customFormat="false" ht="15" hidden="false" customHeight="false" outlineLevel="0" collapsed="false">
      <c r="A1343" s="0" t="s">
        <v>3381</v>
      </c>
      <c r="B1343" s="4" t="n">
        <v>46050</v>
      </c>
      <c r="C1343" s="0" t="s">
        <v>627</v>
      </c>
      <c r="D1343" s="0" t="n">
        <v>29</v>
      </c>
      <c r="E1343" s="0" t="s">
        <v>3382</v>
      </c>
      <c r="F1343" s="3" t="n">
        <f aca="false">D1343*_xlfn.XLOOKUP(C1343,Item_Master!A:A,Item_Master!G:G)</f>
        <v>207350</v>
      </c>
      <c r="G1343" s="0" t="str">
        <f aca="false">TEXT(B1343,"MMM YYYY")</f>
        <v>Jan 2026</v>
      </c>
    </row>
    <row r="1344" customFormat="false" ht="15" hidden="false" customHeight="false" outlineLevel="0" collapsed="false">
      <c r="A1344" s="0" t="s">
        <v>3383</v>
      </c>
      <c r="B1344" s="4" t="n">
        <v>46051</v>
      </c>
      <c r="C1344" s="0" t="s">
        <v>189</v>
      </c>
      <c r="D1344" s="0" t="n">
        <v>20</v>
      </c>
      <c r="E1344" s="0" t="s">
        <v>3384</v>
      </c>
      <c r="F1344" s="3" t="n">
        <f aca="false">D1344*_xlfn.XLOOKUP(C1344,Item_Master!A:A,Item_Master!G:G)</f>
        <v>96400</v>
      </c>
      <c r="G1344" s="0" t="str">
        <f aca="false">TEXT(B1344,"MMM YYYY")</f>
        <v>Jan 2026</v>
      </c>
    </row>
    <row r="1345" customFormat="false" ht="15" hidden="false" customHeight="false" outlineLevel="0" collapsed="false">
      <c r="A1345" s="0" t="s">
        <v>3385</v>
      </c>
      <c r="B1345" s="4" t="n">
        <v>46051</v>
      </c>
      <c r="C1345" s="0" t="s">
        <v>306</v>
      </c>
      <c r="D1345" s="0" t="n">
        <v>11</v>
      </c>
      <c r="E1345" s="0" t="s">
        <v>3386</v>
      </c>
      <c r="F1345" s="3" t="n">
        <f aca="false">D1345*_xlfn.XLOOKUP(C1345,Item_Master!A:A,Item_Master!G:G)</f>
        <v>11220</v>
      </c>
      <c r="G1345" s="0" t="str">
        <f aca="false">TEXT(B1345,"MMM YYYY")</f>
        <v>Jan 2026</v>
      </c>
    </row>
    <row r="1346" customFormat="false" ht="15" hidden="false" customHeight="false" outlineLevel="0" collapsed="false">
      <c r="A1346" s="0" t="s">
        <v>3387</v>
      </c>
      <c r="B1346" s="4" t="n">
        <v>46051</v>
      </c>
      <c r="C1346" s="0" t="s">
        <v>353</v>
      </c>
      <c r="D1346" s="0" t="n">
        <v>29</v>
      </c>
      <c r="E1346" s="0" t="s">
        <v>3388</v>
      </c>
      <c r="F1346" s="3" t="n">
        <f aca="false">D1346*_xlfn.XLOOKUP(C1346,Item_Master!A:A,Item_Master!G:G)</f>
        <v>12180</v>
      </c>
      <c r="G1346" s="0" t="str">
        <f aca="false">TEXT(B1346,"MMM YYYY")</f>
        <v>Jan 2026</v>
      </c>
    </row>
    <row r="1347" customFormat="false" ht="15" hidden="false" customHeight="false" outlineLevel="0" collapsed="false">
      <c r="A1347" s="0" t="s">
        <v>3389</v>
      </c>
      <c r="B1347" s="4" t="n">
        <v>46051</v>
      </c>
      <c r="C1347" s="0" t="s">
        <v>434</v>
      </c>
      <c r="D1347" s="0" t="n">
        <v>4</v>
      </c>
      <c r="E1347" s="0" t="s">
        <v>3390</v>
      </c>
      <c r="F1347" s="3" t="n">
        <f aca="false">D1347*_xlfn.XLOOKUP(C1347,Item_Master!A:A,Item_Master!G:G)</f>
        <v>1480</v>
      </c>
      <c r="G1347" s="0" t="str">
        <f aca="false">TEXT(B1347,"MMM YYYY")</f>
        <v>Jan 2026</v>
      </c>
    </row>
    <row r="1348" customFormat="false" ht="15" hidden="false" customHeight="false" outlineLevel="0" collapsed="false">
      <c r="A1348" s="0" t="s">
        <v>3391</v>
      </c>
      <c r="B1348" s="4" t="n">
        <v>46051</v>
      </c>
      <c r="C1348" s="0" t="s">
        <v>455</v>
      </c>
      <c r="D1348" s="0" t="n">
        <v>1</v>
      </c>
      <c r="E1348" s="0" t="s">
        <v>3392</v>
      </c>
      <c r="F1348" s="3" t="n">
        <f aca="false">D1348*_xlfn.XLOOKUP(C1348,Item_Master!A:A,Item_Master!G:G)</f>
        <v>120</v>
      </c>
      <c r="G1348" s="0" t="str">
        <f aca="false">TEXT(B1348,"MMM YYYY")</f>
        <v>Jan 2026</v>
      </c>
    </row>
    <row r="1349" customFormat="false" ht="15" hidden="false" customHeight="false" outlineLevel="0" collapsed="false">
      <c r="A1349" s="0" t="s">
        <v>3393</v>
      </c>
      <c r="B1349" s="4" t="n">
        <v>46051</v>
      </c>
      <c r="C1349" s="0" t="s">
        <v>461</v>
      </c>
      <c r="D1349" s="0" t="n">
        <v>18</v>
      </c>
      <c r="E1349" s="0" t="s">
        <v>3394</v>
      </c>
      <c r="F1349" s="3" t="n">
        <f aca="false">D1349*_xlfn.XLOOKUP(C1349,Item_Master!A:A,Item_Master!G:G)</f>
        <v>27540</v>
      </c>
      <c r="G1349" s="0" t="str">
        <f aca="false">TEXT(B1349,"MMM YYYY")</f>
        <v>Jan 2026</v>
      </c>
    </row>
    <row r="1350" customFormat="false" ht="15" hidden="false" customHeight="false" outlineLevel="0" collapsed="false">
      <c r="A1350" s="0" t="s">
        <v>3395</v>
      </c>
      <c r="B1350" s="4" t="n">
        <v>46051</v>
      </c>
      <c r="C1350" s="0" t="s">
        <v>464</v>
      </c>
      <c r="D1350" s="0" t="n">
        <v>1</v>
      </c>
      <c r="E1350" s="0" t="s">
        <v>3396</v>
      </c>
      <c r="F1350" s="3" t="n">
        <f aca="false">D1350*_xlfn.XLOOKUP(C1350,Item_Master!A:A,Item_Master!G:G)</f>
        <v>820</v>
      </c>
      <c r="G1350" s="0" t="str">
        <f aca="false">TEXT(B1350,"MMM YYYY")</f>
        <v>Jan 2026</v>
      </c>
    </row>
    <row r="1351" customFormat="false" ht="15" hidden="false" customHeight="false" outlineLevel="0" collapsed="false">
      <c r="A1351" s="0" t="s">
        <v>3397</v>
      </c>
      <c r="B1351" s="4" t="n">
        <v>46051</v>
      </c>
      <c r="C1351" s="0" t="s">
        <v>470</v>
      </c>
      <c r="D1351" s="0" t="n">
        <v>31</v>
      </c>
      <c r="E1351" s="0" t="s">
        <v>3398</v>
      </c>
      <c r="F1351" s="3" t="n">
        <f aca="false">D1351*_xlfn.XLOOKUP(C1351,Item_Master!A:A,Item_Master!G:G)</f>
        <v>42470</v>
      </c>
      <c r="G1351" s="0" t="str">
        <f aca="false">TEXT(B1351,"MMM YYYY")</f>
        <v>Jan 2026</v>
      </c>
    </row>
    <row r="1352" customFormat="false" ht="15" hidden="false" customHeight="false" outlineLevel="0" collapsed="false">
      <c r="A1352" s="0" t="s">
        <v>3399</v>
      </c>
      <c r="B1352" s="4" t="n">
        <v>46051</v>
      </c>
      <c r="C1352" s="0" t="s">
        <v>492</v>
      </c>
      <c r="D1352" s="0" t="n">
        <v>33</v>
      </c>
      <c r="E1352" s="0" t="s">
        <v>3400</v>
      </c>
      <c r="F1352" s="3" t="n">
        <f aca="false">D1352*_xlfn.XLOOKUP(C1352,Item_Master!A:A,Item_Master!G:G)</f>
        <v>11550</v>
      </c>
      <c r="G1352" s="0" t="str">
        <f aca="false">TEXT(B1352,"MMM YYYY")</f>
        <v>Jan 2026</v>
      </c>
    </row>
    <row r="1353" customFormat="false" ht="15" hidden="false" customHeight="false" outlineLevel="0" collapsed="false">
      <c r="A1353" s="0" t="s">
        <v>3401</v>
      </c>
      <c r="B1353" s="4" t="n">
        <v>46051</v>
      </c>
      <c r="C1353" s="0" t="s">
        <v>494</v>
      </c>
      <c r="D1353" s="0" t="n">
        <v>3</v>
      </c>
      <c r="E1353" s="0" t="s">
        <v>3402</v>
      </c>
      <c r="F1353" s="3" t="n">
        <f aca="false">D1353*_xlfn.XLOOKUP(C1353,Item_Master!A:A,Item_Master!G:G)</f>
        <v>41820</v>
      </c>
      <c r="G1353" s="0" t="str">
        <f aca="false">TEXT(B1353,"MMM YYYY")</f>
        <v>Jan 2026</v>
      </c>
    </row>
    <row r="1354" customFormat="false" ht="15" hidden="false" customHeight="false" outlineLevel="0" collapsed="false">
      <c r="A1354" s="0" t="s">
        <v>3403</v>
      </c>
      <c r="B1354" s="4" t="n">
        <v>46051</v>
      </c>
      <c r="C1354" s="0" t="s">
        <v>545</v>
      </c>
      <c r="D1354" s="0" t="n">
        <v>30</v>
      </c>
      <c r="E1354" s="0" t="s">
        <v>3404</v>
      </c>
      <c r="F1354" s="3" t="n">
        <f aca="false">D1354*_xlfn.XLOOKUP(C1354,Item_Master!A:A,Item_Master!G:G)</f>
        <v>41100</v>
      </c>
      <c r="G1354" s="0" t="str">
        <f aca="false">TEXT(B1354,"MMM YYYY")</f>
        <v>Jan 2026</v>
      </c>
    </row>
    <row r="1355" customFormat="false" ht="15" hidden="false" customHeight="false" outlineLevel="0" collapsed="false">
      <c r="A1355" s="0" t="s">
        <v>3405</v>
      </c>
      <c r="B1355" s="4" t="n">
        <v>46051</v>
      </c>
      <c r="C1355" s="0" t="s">
        <v>586</v>
      </c>
      <c r="D1355" s="0" t="n">
        <v>21</v>
      </c>
      <c r="E1355" s="0" t="s">
        <v>3406</v>
      </c>
      <c r="F1355" s="3" t="n">
        <f aca="false">D1355*_xlfn.XLOOKUP(C1355,Item_Master!A:A,Item_Master!G:G)</f>
        <v>35700</v>
      </c>
      <c r="G1355" s="0" t="str">
        <f aca="false">TEXT(B1355,"MMM YYYY")</f>
        <v>Jan 2026</v>
      </c>
    </row>
    <row r="1356" customFormat="false" ht="15" hidden="false" customHeight="false" outlineLevel="0" collapsed="false">
      <c r="A1356" s="0" t="s">
        <v>3407</v>
      </c>
      <c r="B1356" s="4" t="n">
        <v>46051</v>
      </c>
      <c r="C1356" s="0" t="s">
        <v>643</v>
      </c>
      <c r="D1356" s="0" t="n">
        <v>15</v>
      </c>
      <c r="E1356" s="0" t="s">
        <v>3408</v>
      </c>
      <c r="F1356" s="3" t="n">
        <f aca="false">D1356*_xlfn.XLOOKUP(C1356,Item_Master!A:A,Item_Master!G:G)</f>
        <v>21000</v>
      </c>
      <c r="G1356" s="0" t="str">
        <f aca="false">TEXT(B1356,"MMM YYYY")</f>
        <v>Jan 2026</v>
      </c>
    </row>
    <row r="1357" customFormat="false" ht="15" hidden="false" customHeight="false" outlineLevel="0" collapsed="false">
      <c r="A1357" s="0" t="s">
        <v>3409</v>
      </c>
      <c r="B1357" s="4" t="n">
        <v>46051</v>
      </c>
      <c r="C1357" s="0" t="s">
        <v>665</v>
      </c>
      <c r="D1357" s="0" t="n">
        <v>19</v>
      </c>
      <c r="E1357" s="0" t="s">
        <v>3410</v>
      </c>
      <c r="F1357" s="3" t="n">
        <f aca="false">D1357*_xlfn.XLOOKUP(C1357,Item_Master!A:A,Item_Master!G:G)</f>
        <v>21660</v>
      </c>
      <c r="G1357" s="0" t="str">
        <f aca="false">TEXT(B1357,"MMM YYYY")</f>
        <v>Jan 2026</v>
      </c>
    </row>
    <row r="1358" customFormat="false" ht="15" hidden="false" customHeight="false" outlineLevel="0" collapsed="false">
      <c r="A1358" s="0" t="s">
        <v>3411</v>
      </c>
      <c r="B1358" s="4" t="n">
        <v>46052</v>
      </c>
      <c r="C1358" s="0" t="s">
        <v>174</v>
      </c>
      <c r="D1358" s="0" t="n">
        <v>4</v>
      </c>
      <c r="E1358" s="0" t="s">
        <v>2571</v>
      </c>
      <c r="F1358" s="3" t="n">
        <f aca="false">D1358*_xlfn.XLOOKUP(C1358,Item_Master!A:A,Item_Master!G:G)</f>
        <v>1920</v>
      </c>
      <c r="G1358" s="0" t="str">
        <f aca="false">TEXT(B1358,"MMM YYYY")</f>
        <v>Jan 2026</v>
      </c>
    </row>
    <row r="1359" customFormat="false" ht="15" hidden="false" customHeight="false" outlineLevel="0" collapsed="false">
      <c r="A1359" s="0" t="s">
        <v>3412</v>
      </c>
      <c r="B1359" s="4" t="n">
        <v>46052</v>
      </c>
      <c r="C1359" s="0" t="s">
        <v>227</v>
      </c>
      <c r="D1359" s="0" t="n">
        <v>6</v>
      </c>
      <c r="E1359" s="0" t="s">
        <v>3413</v>
      </c>
      <c r="F1359" s="3" t="n">
        <f aca="false">D1359*_xlfn.XLOOKUP(C1359,Item_Master!A:A,Item_Master!G:G)</f>
        <v>160080</v>
      </c>
      <c r="G1359" s="0" t="str">
        <f aca="false">TEXT(B1359,"MMM YYYY")</f>
        <v>Jan 2026</v>
      </c>
    </row>
    <row r="1360" customFormat="false" ht="15" hidden="false" customHeight="false" outlineLevel="0" collapsed="false">
      <c r="A1360" s="0" t="s">
        <v>3414</v>
      </c>
      <c r="B1360" s="4" t="n">
        <v>46052</v>
      </c>
      <c r="C1360" s="0" t="s">
        <v>271</v>
      </c>
      <c r="D1360" s="0" t="n">
        <v>35</v>
      </c>
      <c r="E1360" s="0" t="s">
        <v>3415</v>
      </c>
      <c r="F1360" s="3" t="n">
        <f aca="false">D1360*_xlfn.XLOOKUP(C1360,Item_Master!A:A,Item_Master!G:G)</f>
        <v>21000</v>
      </c>
      <c r="G1360" s="0" t="str">
        <f aca="false">TEXT(B1360,"MMM YYYY")</f>
        <v>Jan 2026</v>
      </c>
    </row>
    <row r="1361" customFormat="false" ht="15" hidden="false" customHeight="false" outlineLevel="0" collapsed="false">
      <c r="A1361" s="0" t="s">
        <v>3416</v>
      </c>
      <c r="B1361" s="4" t="n">
        <v>46052</v>
      </c>
      <c r="C1361" s="0" t="s">
        <v>283</v>
      </c>
      <c r="D1361" s="0" t="n">
        <v>21</v>
      </c>
      <c r="E1361" s="0" t="s">
        <v>3417</v>
      </c>
      <c r="F1361" s="3" t="n">
        <f aca="false">D1361*_xlfn.XLOOKUP(C1361,Item_Master!A:A,Item_Master!G:G)</f>
        <v>398370</v>
      </c>
      <c r="G1361" s="0" t="str">
        <f aca="false">TEXT(B1361,"MMM YYYY")</f>
        <v>Jan 2026</v>
      </c>
    </row>
    <row r="1362" customFormat="false" ht="15" hidden="false" customHeight="false" outlineLevel="0" collapsed="false">
      <c r="A1362" s="0" t="s">
        <v>3418</v>
      </c>
      <c r="B1362" s="4" t="n">
        <v>46052</v>
      </c>
      <c r="C1362" s="0" t="s">
        <v>293</v>
      </c>
      <c r="D1362" s="0" t="n">
        <v>21</v>
      </c>
      <c r="E1362" s="0" t="s">
        <v>3419</v>
      </c>
      <c r="F1362" s="3" t="n">
        <f aca="false">D1362*_xlfn.XLOOKUP(C1362,Item_Master!A:A,Item_Master!G:G)</f>
        <v>12810</v>
      </c>
      <c r="G1362" s="0" t="str">
        <f aca="false">TEXT(B1362,"MMM YYYY")</f>
        <v>Jan 2026</v>
      </c>
    </row>
    <row r="1363" customFormat="false" ht="15" hidden="false" customHeight="false" outlineLevel="0" collapsed="false">
      <c r="A1363" s="0" t="s">
        <v>3420</v>
      </c>
      <c r="B1363" s="4" t="n">
        <v>46052</v>
      </c>
      <c r="C1363" s="0" t="s">
        <v>302</v>
      </c>
      <c r="D1363" s="0" t="n">
        <v>13</v>
      </c>
      <c r="E1363" s="0" t="s">
        <v>3421</v>
      </c>
      <c r="F1363" s="3" t="n">
        <f aca="false">D1363*_xlfn.XLOOKUP(C1363,Item_Master!A:A,Item_Master!G:G)</f>
        <v>134680</v>
      </c>
      <c r="G1363" s="0" t="str">
        <f aca="false">TEXT(B1363,"MMM YYYY")</f>
        <v>Jan 2026</v>
      </c>
    </row>
    <row r="1364" customFormat="false" ht="15" hidden="false" customHeight="false" outlineLevel="0" collapsed="false">
      <c r="A1364" s="0" t="s">
        <v>3422</v>
      </c>
      <c r="B1364" s="4" t="n">
        <v>46052</v>
      </c>
      <c r="C1364" s="0" t="s">
        <v>347</v>
      </c>
      <c r="D1364" s="0" t="n">
        <v>10</v>
      </c>
      <c r="E1364" s="0" t="s">
        <v>3423</v>
      </c>
      <c r="F1364" s="3" t="n">
        <f aca="false">D1364*_xlfn.XLOOKUP(C1364,Item_Master!A:A,Item_Master!G:G)</f>
        <v>2400</v>
      </c>
      <c r="G1364" s="0" t="str">
        <f aca="false">TEXT(B1364,"MMM YYYY")</f>
        <v>Jan 2026</v>
      </c>
    </row>
    <row r="1365" customFormat="false" ht="15" hidden="false" customHeight="false" outlineLevel="0" collapsed="false">
      <c r="A1365" s="0" t="s">
        <v>3424</v>
      </c>
      <c r="B1365" s="4" t="n">
        <v>46052</v>
      </c>
      <c r="C1365" s="0" t="s">
        <v>407</v>
      </c>
      <c r="D1365" s="0" t="n">
        <v>21</v>
      </c>
      <c r="E1365" s="0" t="s">
        <v>3425</v>
      </c>
      <c r="F1365" s="3" t="n">
        <f aca="false">D1365*_xlfn.XLOOKUP(C1365,Item_Master!A:A,Item_Master!G:G)</f>
        <v>4410</v>
      </c>
      <c r="G1365" s="0" t="str">
        <f aca="false">TEXT(B1365,"MMM YYYY")</f>
        <v>Jan 2026</v>
      </c>
    </row>
    <row r="1366" customFormat="false" ht="15" hidden="false" customHeight="false" outlineLevel="0" collapsed="false">
      <c r="A1366" s="0" t="s">
        <v>3426</v>
      </c>
      <c r="B1366" s="4" t="n">
        <v>46052</v>
      </c>
      <c r="C1366" s="0" t="s">
        <v>440</v>
      </c>
      <c r="D1366" s="0" t="n">
        <v>14</v>
      </c>
      <c r="E1366" s="0" t="s">
        <v>3427</v>
      </c>
      <c r="F1366" s="3" t="n">
        <f aca="false">D1366*_xlfn.XLOOKUP(C1366,Item_Master!A:A,Item_Master!G:G)</f>
        <v>17780</v>
      </c>
      <c r="G1366" s="0" t="str">
        <f aca="false">TEXT(B1366,"MMM YYYY")</f>
        <v>Jan 2026</v>
      </c>
    </row>
    <row r="1367" customFormat="false" ht="15" hidden="false" customHeight="false" outlineLevel="0" collapsed="false">
      <c r="A1367" s="0" t="s">
        <v>3428</v>
      </c>
      <c r="B1367" s="4" t="n">
        <v>46052</v>
      </c>
      <c r="C1367" s="0" t="s">
        <v>457</v>
      </c>
      <c r="D1367" s="0" t="n">
        <v>33</v>
      </c>
      <c r="E1367" s="0" t="s">
        <v>3429</v>
      </c>
      <c r="F1367" s="3" t="n">
        <f aca="false">D1367*_xlfn.XLOOKUP(C1367,Item_Master!A:A,Item_Master!G:G)</f>
        <v>20130</v>
      </c>
      <c r="G1367" s="0" t="str">
        <f aca="false">TEXT(B1367,"MMM YYYY")</f>
        <v>Jan 2026</v>
      </c>
    </row>
    <row r="1368" customFormat="false" ht="15" hidden="false" customHeight="false" outlineLevel="0" collapsed="false">
      <c r="A1368" s="0" t="s">
        <v>3430</v>
      </c>
      <c r="B1368" s="4" t="n">
        <v>46052</v>
      </c>
      <c r="C1368" s="0" t="s">
        <v>567</v>
      </c>
      <c r="D1368" s="0" t="n">
        <v>31</v>
      </c>
      <c r="E1368" s="0" t="s">
        <v>3431</v>
      </c>
      <c r="F1368" s="3" t="n">
        <f aca="false">D1368*_xlfn.XLOOKUP(C1368,Item_Master!A:A,Item_Master!G:G)</f>
        <v>27590</v>
      </c>
      <c r="G1368" s="0" t="str">
        <f aca="false">TEXT(B1368,"MMM YYYY")</f>
        <v>Jan 2026</v>
      </c>
    </row>
    <row r="1369" customFormat="false" ht="15" hidden="false" customHeight="false" outlineLevel="0" collapsed="false">
      <c r="A1369" s="0" t="s">
        <v>3432</v>
      </c>
      <c r="B1369" s="4" t="n">
        <v>46052</v>
      </c>
      <c r="C1369" s="0" t="s">
        <v>603</v>
      </c>
      <c r="D1369" s="0" t="n">
        <v>28</v>
      </c>
      <c r="E1369" s="0" t="s">
        <v>3433</v>
      </c>
      <c r="F1369" s="3" t="n">
        <f aca="false">D1369*_xlfn.XLOOKUP(C1369,Item_Master!A:A,Item_Master!G:G)</f>
        <v>12600</v>
      </c>
      <c r="G1369" s="0" t="str">
        <f aca="false">TEXT(B1369,"MMM YYYY")</f>
        <v>Jan 2026</v>
      </c>
    </row>
    <row r="1370" customFormat="false" ht="15" hidden="false" customHeight="false" outlineLevel="0" collapsed="false">
      <c r="A1370" s="0" t="s">
        <v>3434</v>
      </c>
      <c r="B1370" s="4" t="n">
        <v>46052</v>
      </c>
      <c r="C1370" s="0" t="s">
        <v>636</v>
      </c>
      <c r="D1370" s="0" t="n">
        <v>20</v>
      </c>
      <c r="E1370" s="0" t="s">
        <v>3435</v>
      </c>
      <c r="F1370" s="3" t="n">
        <f aca="false">D1370*_xlfn.XLOOKUP(C1370,Item_Master!A:A,Item_Master!G:G)</f>
        <v>26000</v>
      </c>
      <c r="G1370" s="0" t="str">
        <f aca="false">TEXT(B1370,"MMM YYYY")</f>
        <v>Jan 2026</v>
      </c>
    </row>
    <row r="1371" customFormat="false" ht="15" hidden="false" customHeight="false" outlineLevel="0" collapsed="false">
      <c r="A1371" s="0" t="s">
        <v>3436</v>
      </c>
      <c r="B1371" s="4" t="n">
        <v>46052</v>
      </c>
      <c r="C1371" s="0" t="s">
        <v>641</v>
      </c>
      <c r="D1371" s="0" t="n">
        <v>25</v>
      </c>
      <c r="E1371" s="0" t="s">
        <v>3437</v>
      </c>
      <c r="F1371" s="3" t="n">
        <f aca="false">D1371*_xlfn.XLOOKUP(C1371,Item_Master!A:A,Item_Master!G:G)</f>
        <v>53000</v>
      </c>
      <c r="G1371" s="0" t="str">
        <f aca="false">TEXT(B1371,"MMM YYYY")</f>
        <v>Jan 2026</v>
      </c>
    </row>
    <row r="1372" customFormat="false" ht="15" hidden="false" customHeight="false" outlineLevel="0" collapsed="false">
      <c r="A1372" s="0" t="s">
        <v>3438</v>
      </c>
      <c r="B1372" s="4" t="n">
        <v>46052</v>
      </c>
      <c r="C1372" s="0" t="s">
        <v>671</v>
      </c>
      <c r="D1372" s="0" t="n">
        <v>36</v>
      </c>
      <c r="E1372" s="0" t="s">
        <v>3439</v>
      </c>
      <c r="F1372" s="3" t="n">
        <f aca="false">D1372*_xlfn.XLOOKUP(C1372,Item_Master!A:A,Item_Master!G:G)</f>
        <v>80640</v>
      </c>
      <c r="G1372" s="0" t="str">
        <f aca="false">TEXT(B1372,"MMM YYYY")</f>
        <v>Jan 2026</v>
      </c>
    </row>
    <row r="1373" customFormat="false" ht="15" hidden="false" customHeight="false" outlineLevel="0" collapsed="false">
      <c r="A1373" s="0" t="s">
        <v>3440</v>
      </c>
      <c r="B1373" s="4" t="n">
        <v>46053</v>
      </c>
      <c r="C1373" s="0" t="s">
        <v>81</v>
      </c>
      <c r="D1373" s="0" t="n">
        <v>14</v>
      </c>
      <c r="E1373" s="0" t="s">
        <v>3441</v>
      </c>
      <c r="F1373" s="3" t="n">
        <f aca="false">D1373*_xlfn.XLOOKUP(C1373,Item_Master!A:A,Item_Master!G:G)</f>
        <v>39480</v>
      </c>
      <c r="G1373" s="0" t="str">
        <f aca="false">TEXT(B1373,"MMM YYYY")</f>
        <v>Jan 2026</v>
      </c>
    </row>
    <row r="1374" customFormat="false" ht="15" hidden="false" customHeight="false" outlineLevel="0" collapsed="false">
      <c r="A1374" s="0" t="s">
        <v>3442</v>
      </c>
      <c r="B1374" s="4" t="n">
        <v>46053</v>
      </c>
      <c r="C1374" s="0" t="s">
        <v>193</v>
      </c>
      <c r="D1374" s="0" t="n">
        <v>20</v>
      </c>
      <c r="E1374" s="0" t="s">
        <v>3443</v>
      </c>
      <c r="F1374" s="3" t="n">
        <f aca="false">D1374*_xlfn.XLOOKUP(C1374,Item_Master!A:A,Item_Master!G:G)</f>
        <v>380600</v>
      </c>
      <c r="G1374" s="0" t="str">
        <f aca="false">TEXT(B1374,"MMM YYYY")</f>
        <v>Jan 2026</v>
      </c>
    </row>
    <row r="1375" customFormat="false" ht="15" hidden="false" customHeight="false" outlineLevel="0" collapsed="false">
      <c r="A1375" s="0" t="s">
        <v>3444</v>
      </c>
      <c r="B1375" s="4" t="n">
        <v>46053</v>
      </c>
      <c r="C1375" s="0" t="s">
        <v>245</v>
      </c>
      <c r="D1375" s="0" t="n">
        <v>13</v>
      </c>
      <c r="E1375" s="0" t="s">
        <v>3445</v>
      </c>
      <c r="F1375" s="3" t="n">
        <f aca="false">D1375*_xlfn.XLOOKUP(C1375,Item_Master!A:A,Item_Master!G:G)</f>
        <v>29640</v>
      </c>
      <c r="G1375" s="0" t="str">
        <f aca="false">TEXT(B1375,"MMM YYYY")</f>
        <v>Jan 2026</v>
      </c>
    </row>
    <row r="1376" customFormat="false" ht="15" hidden="false" customHeight="false" outlineLevel="0" collapsed="false">
      <c r="A1376" s="0" t="s">
        <v>3446</v>
      </c>
      <c r="B1376" s="4" t="n">
        <v>46053</v>
      </c>
      <c r="C1376" s="0" t="s">
        <v>265</v>
      </c>
      <c r="D1376" s="0" t="n">
        <v>1</v>
      </c>
      <c r="E1376" s="0" t="s">
        <v>3447</v>
      </c>
      <c r="F1376" s="3" t="n">
        <f aca="false">D1376*_xlfn.XLOOKUP(C1376,Item_Master!A:A,Item_Master!G:G)</f>
        <v>270</v>
      </c>
      <c r="G1376" s="0" t="str">
        <f aca="false">TEXT(B1376,"MMM YYYY")</f>
        <v>Jan 2026</v>
      </c>
    </row>
    <row r="1377" customFormat="false" ht="15" hidden="false" customHeight="false" outlineLevel="0" collapsed="false">
      <c r="A1377" s="0" t="s">
        <v>3448</v>
      </c>
      <c r="B1377" s="4" t="n">
        <v>46053</v>
      </c>
      <c r="C1377" s="0" t="s">
        <v>368</v>
      </c>
      <c r="D1377" s="0" t="n">
        <v>2</v>
      </c>
      <c r="E1377" s="0" t="s">
        <v>3449</v>
      </c>
      <c r="F1377" s="3" t="n">
        <f aca="false">D1377*_xlfn.XLOOKUP(C1377,Item_Master!A:A,Item_Master!G:G)</f>
        <v>2960</v>
      </c>
      <c r="G1377" s="0" t="str">
        <f aca="false">TEXT(B1377,"MMM YYYY")</f>
        <v>Jan 2026</v>
      </c>
    </row>
    <row r="1378" customFormat="false" ht="15" hidden="false" customHeight="false" outlineLevel="0" collapsed="false">
      <c r="A1378" s="0" t="s">
        <v>3450</v>
      </c>
      <c r="B1378" s="4" t="n">
        <v>46053</v>
      </c>
      <c r="C1378" s="0" t="s">
        <v>474</v>
      </c>
      <c r="D1378" s="0" t="n">
        <v>33</v>
      </c>
      <c r="E1378" s="0" t="s">
        <v>3451</v>
      </c>
      <c r="F1378" s="3" t="n">
        <f aca="false">D1378*_xlfn.XLOOKUP(C1378,Item_Master!A:A,Item_Master!G:G)</f>
        <v>300960</v>
      </c>
      <c r="G1378" s="0" t="str">
        <f aca="false">TEXT(B1378,"MMM YYYY")</f>
        <v>Jan 2026</v>
      </c>
    </row>
    <row r="1379" customFormat="false" ht="15" hidden="false" customHeight="false" outlineLevel="0" collapsed="false">
      <c r="A1379" s="0" t="s">
        <v>3452</v>
      </c>
      <c r="B1379" s="4" t="n">
        <v>46053</v>
      </c>
      <c r="C1379" s="0" t="s">
        <v>480</v>
      </c>
      <c r="D1379" s="0" t="n">
        <v>4</v>
      </c>
      <c r="E1379" s="0" t="s">
        <v>3453</v>
      </c>
      <c r="F1379" s="3" t="n">
        <f aca="false">D1379*_xlfn.XLOOKUP(C1379,Item_Master!A:A,Item_Master!G:G)</f>
        <v>10520</v>
      </c>
      <c r="G1379" s="0" t="str">
        <f aca="false">TEXT(B1379,"MMM YYYY")</f>
        <v>Jan 2026</v>
      </c>
    </row>
    <row r="1380" customFormat="false" ht="15" hidden="false" customHeight="false" outlineLevel="0" collapsed="false">
      <c r="A1380" s="0" t="s">
        <v>3454</v>
      </c>
      <c r="B1380" s="4" t="n">
        <v>46053</v>
      </c>
      <c r="C1380" s="0" t="s">
        <v>562</v>
      </c>
      <c r="D1380" s="0" t="n">
        <v>10</v>
      </c>
      <c r="E1380" s="0" t="s">
        <v>3455</v>
      </c>
      <c r="F1380" s="3" t="n">
        <f aca="false">D1380*_xlfn.XLOOKUP(C1380,Item_Master!A:A,Item_Master!G:G)</f>
        <v>14300</v>
      </c>
      <c r="G1380" s="0" t="str">
        <f aca="false">TEXT(B1380,"MMM YYYY")</f>
        <v>Jan 2026</v>
      </c>
    </row>
    <row r="1381" customFormat="false" ht="15" hidden="false" customHeight="false" outlineLevel="0" collapsed="false">
      <c r="A1381" s="0" t="s">
        <v>3456</v>
      </c>
      <c r="B1381" s="4" t="n">
        <v>46053</v>
      </c>
      <c r="C1381" s="0" t="s">
        <v>574</v>
      </c>
      <c r="D1381" s="0" t="n">
        <v>33</v>
      </c>
      <c r="E1381" s="0" t="s">
        <v>3457</v>
      </c>
      <c r="F1381" s="3" t="n">
        <f aca="false">D1381*_xlfn.XLOOKUP(C1381,Item_Master!A:A,Item_Master!G:G)</f>
        <v>91080</v>
      </c>
      <c r="G1381" s="0" t="str">
        <f aca="false">TEXT(B1381,"MMM YYYY")</f>
        <v>Jan 2026</v>
      </c>
    </row>
    <row r="1382" customFormat="false" ht="15" hidden="false" customHeight="false" outlineLevel="0" collapsed="false">
      <c r="A1382" s="0" t="s">
        <v>3458</v>
      </c>
      <c r="B1382" s="4" t="n">
        <v>46053</v>
      </c>
      <c r="C1382" s="0" t="s">
        <v>671</v>
      </c>
      <c r="D1382" s="0" t="n">
        <v>9</v>
      </c>
      <c r="E1382" s="0" t="s">
        <v>3459</v>
      </c>
      <c r="F1382" s="3" t="n">
        <f aca="false">D1382*_xlfn.XLOOKUP(C1382,Item_Master!A:A,Item_Master!G:G)</f>
        <v>20160</v>
      </c>
      <c r="G1382" s="0" t="str">
        <f aca="false">TEXT(B1382,"MMM YYYY")</f>
        <v>Jan 2026</v>
      </c>
    </row>
    <row r="1383" customFormat="false" ht="15" hidden="false" customHeight="false" outlineLevel="0" collapsed="false">
      <c r="A1383" s="0" t="s">
        <v>3460</v>
      </c>
      <c r="B1383" s="4" t="n">
        <v>46053</v>
      </c>
      <c r="C1383" s="0" t="s">
        <v>684</v>
      </c>
      <c r="D1383" s="0" t="n">
        <v>15</v>
      </c>
      <c r="E1383" s="0" t="s">
        <v>3461</v>
      </c>
      <c r="F1383" s="3" t="n">
        <f aca="false">D1383*_xlfn.XLOOKUP(C1383,Item_Master!A:A,Item_Master!G:G)</f>
        <v>42600</v>
      </c>
      <c r="G1383" s="0" t="str">
        <f aca="false">TEXT(B1383,"MMM YYYY")</f>
        <v>Jan 2026</v>
      </c>
    </row>
    <row r="1384" customFormat="false" ht="15" hidden="false" customHeight="false" outlineLevel="0" collapsed="false">
      <c r="A1384" s="0" t="s">
        <v>3462</v>
      </c>
      <c r="B1384" s="4" t="n">
        <v>46053</v>
      </c>
      <c r="C1384" s="0" t="s">
        <v>690</v>
      </c>
      <c r="D1384" s="0" t="n">
        <v>17</v>
      </c>
      <c r="E1384" s="0" t="s">
        <v>3463</v>
      </c>
      <c r="F1384" s="3" t="n">
        <f aca="false">D1384*_xlfn.XLOOKUP(C1384,Item_Master!A:A,Item_Master!G:G)</f>
        <v>13430</v>
      </c>
      <c r="G1384" s="0" t="str">
        <f aca="false">TEXT(B1384,"MMM YYYY")</f>
        <v>Jan 2026</v>
      </c>
    </row>
    <row r="1385" customFormat="false" ht="15" hidden="false" customHeight="false" outlineLevel="0" collapsed="false">
      <c r="A1385" s="0" t="s">
        <v>3464</v>
      </c>
      <c r="B1385" s="4" t="n">
        <v>46054</v>
      </c>
      <c r="C1385" s="0" t="s">
        <v>123</v>
      </c>
      <c r="D1385" s="0" t="n">
        <v>14</v>
      </c>
      <c r="E1385" s="0" t="s">
        <v>3465</v>
      </c>
      <c r="F1385" s="3" t="n">
        <f aca="false">D1385*_xlfn.XLOOKUP(C1385,Item_Master!A:A,Item_Master!G:G)</f>
        <v>205940</v>
      </c>
      <c r="G1385" s="0" t="str">
        <f aca="false">TEXT(B1385,"MMM YYYY")</f>
        <v>Feb 2026</v>
      </c>
    </row>
    <row r="1386" customFormat="false" ht="15" hidden="false" customHeight="false" outlineLevel="0" collapsed="false">
      <c r="A1386" s="0" t="s">
        <v>3466</v>
      </c>
      <c r="B1386" s="4" t="n">
        <v>46054</v>
      </c>
      <c r="C1386" s="0" t="s">
        <v>322</v>
      </c>
      <c r="D1386" s="0" t="n">
        <v>8</v>
      </c>
      <c r="E1386" s="0" t="s">
        <v>3467</v>
      </c>
      <c r="F1386" s="3" t="n">
        <f aca="false">D1386*_xlfn.XLOOKUP(C1386,Item_Master!A:A,Item_Master!G:G)</f>
        <v>17520</v>
      </c>
      <c r="G1386" s="0" t="str">
        <f aca="false">TEXT(B1386,"MMM YYYY")</f>
        <v>Feb 2026</v>
      </c>
    </row>
    <row r="1387" customFormat="false" ht="15" hidden="false" customHeight="false" outlineLevel="0" collapsed="false">
      <c r="A1387" s="0" t="s">
        <v>3468</v>
      </c>
      <c r="B1387" s="4" t="n">
        <v>46054</v>
      </c>
      <c r="C1387" s="0" t="s">
        <v>438</v>
      </c>
      <c r="D1387" s="0" t="n">
        <v>36</v>
      </c>
      <c r="E1387" s="0" t="s">
        <v>3469</v>
      </c>
      <c r="F1387" s="3" t="n">
        <f aca="false">D1387*_xlfn.XLOOKUP(C1387,Item_Master!A:A,Item_Master!G:G)</f>
        <v>7200</v>
      </c>
      <c r="G1387" s="0" t="str">
        <f aca="false">TEXT(B1387,"MMM YYYY")</f>
        <v>Feb 2026</v>
      </c>
    </row>
    <row r="1388" customFormat="false" ht="15" hidden="false" customHeight="false" outlineLevel="0" collapsed="false">
      <c r="A1388" s="0" t="s">
        <v>3470</v>
      </c>
      <c r="B1388" s="4" t="n">
        <v>46054</v>
      </c>
      <c r="C1388" s="0" t="s">
        <v>480</v>
      </c>
      <c r="D1388" s="0" t="n">
        <v>12</v>
      </c>
      <c r="E1388" s="0" t="s">
        <v>3471</v>
      </c>
      <c r="F1388" s="3" t="n">
        <f aca="false">D1388*_xlfn.XLOOKUP(C1388,Item_Master!A:A,Item_Master!G:G)</f>
        <v>31560</v>
      </c>
      <c r="G1388" s="0" t="str">
        <f aca="false">TEXT(B1388,"MMM YYYY")</f>
        <v>Feb 2026</v>
      </c>
    </row>
    <row r="1389" customFormat="false" ht="15" hidden="false" customHeight="false" outlineLevel="0" collapsed="false">
      <c r="A1389" s="0" t="s">
        <v>3472</v>
      </c>
      <c r="B1389" s="4" t="n">
        <v>46054</v>
      </c>
      <c r="C1389" s="0" t="s">
        <v>634</v>
      </c>
      <c r="D1389" s="0" t="n">
        <v>20</v>
      </c>
      <c r="E1389" s="0" t="s">
        <v>3473</v>
      </c>
      <c r="F1389" s="3" t="n">
        <f aca="false">D1389*_xlfn.XLOOKUP(C1389,Item_Master!A:A,Item_Master!G:G)</f>
        <v>318200</v>
      </c>
      <c r="G1389" s="0" t="str">
        <f aca="false">TEXT(B1389,"MMM YYYY")</f>
        <v>Feb 2026</v>
      </c>
    </row>
    <row r="1390" customFormat="false" ht="15" hidden="false" customHeight="false" outlineLevel="0" collapsed="false">
      <c r="A1390" s="0" t="s">
        <v>3474</v>
      </c>
      <c r="B1390" s="4" t="n">
        <v>46054</v>
      </c>
      <c r="C1390" s="0" t="s">
        <v>654</v>
      </c>
      <c r="D1390" s="0" t="n">
        <v>5</v>
      </c>
      <c r="E1390" s="0" t="s">
        <v>3475</v>
      </c>
      <c r="F1390" s="3" t="n">
        <f aca="false">D1390*_xlfn.XLOOKUP(C1390,Item_Master!A:A,Item_Master!G:G)</f>
        <v>9000</v>
      </c>
      <c r="G1390" s="0" t="str">
        <f aca="false">TEXT(B1390,"MMM YYYY")</f>
        <v>Feb 2026</v>
      </c>
    </row>
    <row r="1391" customFormat="false" ht="15" hidden="false" customHeight="false" outlineLevel="0" collapsed="false">
      <c r="A1391" s="0" t="s">
        <v>3476</v>
      </c>
      <c r="B1391" s="4" t="n">
        <v>46054</v>
      </c>
      <c r="C1391" s="0" t="s">
        <v>661</v>
      </c>
      <c r="D1391" s="0" t="n">
        <v>1</v>
      </c>
      <c r="E1391" s="0" t="s">
        <v>3477</v>
      </c>
      <c r="F1391" s="3" t="n">
        <f aca="false">D1391*_xlfn.XLOOKUP(C1391,Item_Master!A:A,Item_Master!G:G)</f>
        <v>3450</v>
      </c>
      <c r="G1391" s="0" t="str">
        <f aca="false">TEXT(B1391,"MMM YYYY")</f>
        <v>Feb 2026</v>
      </c>
    </row>
    <row r="1392" customFormat="false" ht="15" hidden="false" customHeight="false" outlineLevel="0" collapsed="false">
      <c r="A1392" s="0" t="s">
        <v>3478</v>
      </c>
      <c r="B1392" s="4" t="n">
        <v>46055</v>
      </c>
      <c r="C1392" s="0" t="s">
        <v>30</v>
      </c>
      <c r="D1392" s="0" t="n">
        <v>1</v>
      </c>
      <c r="E1392" s="0" t="s">
        <v>3479</v>
      </c>
      <c r="F1392" s="3" t="n">
        <f aca="false">D1392*_xlfn.XLOOKUP(C1392,Item_Master!A:A,Item_Master!G:G)</f>
        <v>1810</v>
      </c>
      <c r="G1392" s="0" t="str">
        <f aca="false">TEXT(B1392,"MMM YYYY")</f>
        <v>Feb 2026</v>
      </c>
    </row>
    <row r="1393" customFormat="false" ht="15" hidden="false" customHeight="false" outlineLevel="0" collapsed="false">
      <c r="A1393" s="0" t="s">
        <v>3480</v>
      </c>
      <c r="B1393" s="4" t="n">
        <v>46055</v>
      </c>
      <c r="C1393" s="0" t="s">
        <v>347</v>
      </c>
      <c r="D1393" s="0" t="n">
        <v>13</v>
      </c>
      <c r="E1393" s="0" t="s">
        <v>3481</v>
      </c>
      <c r="F1393" s="3" t="n">
        <f aca="false">D1393*_xlfn.XLOOKUP(C1393,Item_Master!A:A,Item_Master!G:G)</f>
        <v>3120</v>
      </c>
      <c r="G1393" s="0" t="str">
        <f aca="false">TEXT(B1393,"MMM YYYY")</f>
        <v>Feb 2026</v>
      </c>
    </row>
    <row r="1394" customFormat="false" ht="15" hidden="false" customHeight="false" outlineLevel="0" collapsed="false">
      <c r="A1394" s="0" t="s">
        <v>3482</v>
      </c>
      <c r="B1394" s="4" t="n">
        <v>46055</v>
      </c>
      <c r="C1394" s="0" t="s">
        <v>422</v>
      </c>
      <c r="D1394" s="0" t="n">
        <v>11</v>
      </c>
      <c r="E1394" s="0" t="s">
        <v>3483</v>
      </c>
      <c r="F1394" s="3" t="n">
        <f aca="false">D1394*_xlfn.XLOOKUP(C1394,Item_Master!A:A,Item_Master!G:G)</f>
        <v>265650</v>
      </c>
      <c r="G1394" s="0" t="str">
        <f aca="false">TEXT(B1394,"MMM YYYY")</f>
        <v>Feb 2026</v>
      </c>
    </row>
    <row r="1395" customFormat="false" ht="15" hidden="false" customHeight="false" outlineLevel="0" collapsed="false">
      <c r="A1395" s="0" t="s">
        <v>3484</v>
      </c>
      <c r="B1395" s="4" t="n">
        <v>46055</v>
      </c>
      <c r="C1395" s="0" t="s">
        <v>428</v>
      </c>
      <c r="D1395" s="0" t="n">
        <v>13</v>
      </c>
      <c r="E1395" s="0" t="s">
        <v>3485</v>
      </c>
      <c r="F1395" s="3" t="n">
        <f aca="false">D1395*_xlfn.XLOOKUP(C1395,Item_Master!A:A,Item_Master!G:G)</f>
        <v>14560</v>
      </c>
      <c r="G1395" s="0" t="str">
        <f aca="false">TEXT(B1395,"MMM YYYY")</f>
        <v>Feb 2026</v>
      </c>
    </row>
    <row r="1396" customFormat="false" ht="15" hidden="false" customHeight="false" outlineLevel="0" collapsed="false">
      <c r="A1396" s="0" t="s">
        <v>3486</v>
      </c>
      <c r="B1396" s="4" t="n">
        <v>46055</v>
      </c>
      <c r="C1396" s="0" t="s">
        <v>482</v>
      </c>
      <c r="D1396" s="0" t="n">
        <v>26</v>
      </c>
      <c r="E1396" s="0" t="s">
        <v>3487</v>
      </c>
      <c r="F1396" s="3" t="n">
        <f aca="false">D1396*_xlfn.XLOOKUP(C1396,Item_Master!A:A,Item_Master!G:G)</f>
        <v>31720</v>
      </c>
      <c r="G1396" s="0" t="str">
        <f aca="false">TEXT(B1396,"MMM YYYY")</f>
        <v>Feb 2026</v>
      </c>
    </row>
    <row r="1397" customFormat="false" ht="15" hidden="false" customHeight="false" outlineLevel="0" collapsed="false">
      <c r="A1397" s="0" t="s">
        <v>3488</v>
      </c>
      <c r="B1397" s="4" t="n">
        <v>46055</v>
      </c>
      <c r="C1397" s="0" t="s">
        <v>569</v>
      </c>
      <c r="D1397" s="0" t="n">
        <v>11</v>
      </c>
      <c r="E1397" s="0" t="s">
        <v>3489</v>
      </c>
      <c r="F1397" s="3" t="n">
        <f aca="false">D1397*_xlfn.XLOOKUP(C1397,Item_Master!A:A,Item_Master!G:G)</f>
        <v>19580</v>
      </c>
      <c r="G1397" s="0" t="str">
        <f aca="false">TEXT(B1397,"MMM YYYY")</f>
        <v>Feb 2026</v>
      </c>
    </row>
    <row r="1398" customFormat="false" ht="15" hidden="false" customHeight="false" outlineLevel="0" collapsed="false">
      <c r="A1398" s="0" t="s">
        <v>3490</v>
      </c>
      <c r="B1398" s="4" t="n">
        <v>46055</v>
      </c>
      <c r="C1398" s="0" t="s">
        <v>579</v>
      </c>
      <c r="D1398" s="0" t="n">
        <v>38</v>
      </c>
      <c r="E1398" s="0" t="s">
        <v>3491</v>
      </c>
      <c r="F1398" s="3" t="n">
        <f aca="false">D1398*_xlfn.XLOOKUP(C1398,Item_Master!A:A,Item_Master!G:G)</f>
        <v>71440</v>
      </c>
      <c r="G1398" s="0" t="str">
        <f aca="false">TEXT(B1398,"MMM YYYY")</f>
        <v>Feb 2026</v>
      </c>
    </row>
    <row r="1399" customFormat="false" ht="15" hidden="false" customHeight="false" outlineLevel="0" collapsed="false">
      <c r="A1399" s="0" t="s">
        <v>3492</v>
      </c>
      <c r="B1399" s="4" t="n">
        <v>46055</v>
      </c>
      <c r="C1399" s="0" t="s">
        <v>676</v>
      </c>
      <c r="D1399" s="0" t="n">
        <v>12</v>
      </c>
      <c r="E1399" s="0" t="s">
        <v>3493</v>
      </c>
      <c r="F1399" s="3" t="n">
        <f aca="false">D1399*_xlfn.XLOOKUP(C1399,Item_Master!A:A,Item_Master!G:G)</f>
        <v>26400</v>
      </c>
      <c r="G1399" s="0" t="str">
        <f aca="false">TEXT(B1399,"MMM YYYY")</f>
        <v>Feb 2026</v>
      </c>
    </row>
    <row r="1400" customFormat="false" ht="15" hidden="false" customHeight="false" outlineLevel="0" collapsed="false">
      <c r="A1400" s="0" t="s">
        <v>3494</v>
      </c>
      <c r="B1400" s="4" t="n">
        <v>46055</v>
      </c>
      <c r="C1400" s="0" t="s">
        <v>707</v>
      </c>
      <c r="D1400" s="0" t="n">
        <v>9</v>
      </c>
      <c r="E1400" s="0" t="s">
        <v>3495</v>
      </c>
      <c r="F1400" s="3" t="n">
        <f aca="false">D1400*_xlfn.XLOOKUP(C1400,Item_Master!A:A,Item_Master!G:G)</f>
        <v>114480</v>
      </c>
      <c r="G1400" s="0" t="str">
        <f aca="false">TEXT(B1400,"MMM YYYY")</f>
        <v>Feb 2026</v>
      </c>
    </row>
    <row r="1401" customFormat="false" ht="15" hidden="false" customHeight="false" outlineLevel="0" collapsed="false">
      <c r="A1401" s="0" t="s">
        <v>3496</v>
      </c>
      <c r="B1401" s="4" t="n">
        <v>46056</v>
      </c>
      <c r="C1401" s="0" t="s">
        <v>117</v>
      </c>
      <c r="D1401" s="0" t="n">
        <v>8</v>
      </c>
      <c r="E1401" s="0" t="s">
        <v>3497</v>
      </c>
      <c r="F1401" s="3" t="n">
        <f aca="false">D1401*_xlfn.XLOOKUP(C1401,Item_Master!A:A,Item_Master!G:G)</f>
        <v>2880</v>
      </c>
      <c r="G1401" s="0" t="str">
        <f aca="false">TEXT(B1401,"MMM YYYY")</f>
        <v>Feb 2026</v>
      </c>
    </row>
    <row r="1402" customFormat="false" ht="15" hidden="false" customHeight="false" outlineLevel="0" collapsed="false">
      <c r="A1402" s="0" t="s">
        <v>3498</v>
      </c>
      <c r="B1402" s="4" t="n">
        <v>46056</v>
      </c>
      <c r="C1402" s="0" t="s">
        <v>249</v>
      </c>
      <c r="D1402" s="0" t="n">
        <v>30</v>
      </c>
      <c r="E1402" s="0" t="s">
        <v>3499</v>
      </c>
      <c r="F1402" s="3" t="n">
        <f aca="false">D1402*_xlfn.XLOOKUP(C1402,Item_Master!A:A,Item_Master!G:G)</f>
        <v>84000</v>
      </c>
      <c r="G1402" s="0" t="str">
        <f aca="false">TEXT(B1402,"MMM YYYY")</f>
        <v>Feb 2026</v>
      </c>
    </row>
    <row r="1403" customFormat="false" ht="15" hidden="false" customHeight="false" outlineLevel="0" collapsed="false">
      <c r="A1403" s="0" t="s">
        <v>3500</v>
      </c>
      <c r="B1403" s="4" t="n">
        <v>46056</v>
      </c>
      <c r="C1403" s="0" t="s">
        <v>302</v>
      </c>
      <c r="D1403" s="0" t="n">
        <v>40</v>
      </c>
      <c r="E1403" s="0" t="s">
        <v>3501</v>
      </c>
      <c r="F1403" s="3" t="n">
        <f aca="false">D1403*_xlfn.XLOOKUP(C1403,Item_Master!A:A,Item_Master!G:G)</f>
        <v>414400</v>
      </c>
      <c r="G1403" s="0" t="str">
        <f aca="false">TEXT(B1403,"MMM YYYY")</f>
        <v>Feb 2026</v>
      </c>
    </row>
    <row r="1404" customFormat="false" ht="15" hidden="false" customHeight="false" outlineLevel="0" collapsed="false">
      <c r="A1404" s="0" t="s">
        <v>3502</v>
      </c>
      <c r="B1404" s="4" t="n">
        <v>46056</v>
      </c>
      <c r="C1404" s="0" t="s">
        <v>392</v>
      </c>
      <c r="D1404" s="0" t="n">
        <v>10</v>
      </c>
      <c r="E1404" s="0" t="s">
        <v>3503</v>
      </c>
      <c r="F1404" s="3" t="n">
        <f aca="false">D1404*_xlfn.XLOOKUP(C1404,Item_Master!A:A,Item_Master!G:G)</f>
        <v>6300</v>
      </c>
      <c r="G1404" s="0" t="str">
        <f aca="false">TEXT(B1404,"MMM YYYY")</f>
        <v>Feb 2026</v>
      </c>
    </row>
    <row r="1405" customFormat="false" ht="15" hidden="false" customHeight="false" outlineLevel="0" collapsed="false">
      <c r="A1405" s="0" t="s">
        <v>3504</v>
      </c>
      <c r="B1405" s="4" t="n">
        <v>46056</v>
      </c>
      <c r="C1405" s="0" t="s">
        <v>462</v>
      </c>
      <c r="D1405" s="0" t="n">
        <v>11</v>
      </c>
      <c r="E1405" s="0" t="s">
        <v>3505</v>
      </c>
      <c r="F1405" s="3" t="n">
        <f aca="false">D1405*_xlfn.XLOOKUP(C1405,Item_Master!A:A,Item_Master!G:G)</f>
        <v>122100</v>
      </c>
      <c r="G1405" s="0" t="str">
        <f aca="false">TEXT(B1405,"MMM YYYY")</f>
        <v>Feb 2026</v>
      </c>
    </row>
    <row r="1406" customFormat="false" ht="15" hidden="false" customHeight="false" outlineLevel="0" collapsed="false">
      <c r="A1406" s="0" t="s">
        <v>3506</v>
      </c>
      <c r="B1406" s="4" t="n">
        <v>46056</v>
      </c>
      <c r="C1406" s="0" t="s">
        <v>530</v>
      </c>
      <c r="D1406" s="0" t="n">
        <v>3</v>
      </c>
      <c r="E1406" s="0" t="s">
        <v>3507</v>
      </c>
      <c r="F1406" s="3" t="n">
        <f aca="false">D1406*_xlfn.XLOOKUP(C1406,Item_Master!A:A,Item_Master!G:G)</f>
        <v>35070</v>
      </c>
      <c r="G1406" s="0" t="str">
        <f aca="false">TEXT(B1406,"MMM YYYY")</f>
        <v>Feb 2026</v>
      </c>
    </row>
    <row r="1407" customFormat="false" ht="15" hidden="false" customHeight="false" outlineLevel="0" collapsed="false">
      <c r="A1407" s="0" t="s">
        <v>3508</v>
      </c>
      <c r="B1407" s="4" t="n">
        <v>46056</v>
      </c>
      <c r="C1407" s="0" t="s">
        <v>559</v>
      </c>
      <c r="D1407" s="0" t="n">
        <v>19</v>
      </c>
      <c r="E1407" s="0" t="s">
        <v>3509</v>
      </c>
      <c r="F1407" s="3" t="n">
        <f aca="false">D1407*_xlfn.XLOOKUP(C1407,Item_Master!A:A,Item_Master!G:G)</f>
        <v>168530</v>
      </c>
      <c r="G1407" s="0" t="str">
        <f aca="false">TEXT(B1407,"MMM YYYY")</f>
        <v>Feb 2026</v>
      </c>
    </row>
    <row r="1408" customFormat="false" ht="15" hidden="false" customHeight="false" outlineLevel="0" collapsed="false">
      <c r="A1408" s="0" t="s">
        <v>3510</v>
      </c>
      <c r="B1408" s="4" t="n">
        <v>46056</v>
      </c>
      <c r="C1408" s="0" t="s">
        <v>622</v>
      </c>
      <c r="D1408" s="0" t="n">
        <v>15</v>
      </c>
      <c r="E1408" s="0" t="s">
        <v>3511</v>
      </c>
      <c r="F1408" s="3" t="n">
        <f aca="false">D1408*_xlfn.XLOOKUP(C1408,Item_Master!A:A,Item_Master!G:G)</f>
        <v>16650</v>
      </c>
      <c r="G1408" s="0" t="str">
        <f aca="false">TEXT(B1408,"MMM YYYY")</f>
        <v>Feb 2026</v>
      </c>
    </row>
    <row r="1409" customFormat="false" ht="15" hidden="false" customHeight="false" outlineLevel="0" collapsed="false">
      <c r="A1409" s="0" t="s">
        <v>3512</v>
      </c>
      <c r="B1409" s="4" t="n">
        <v>46056</v>
      </c>
      <c r="C1409" s="0" t="s">
        <v>663</v>
      </c>
      <c r="D1409" s="0" t="n">
        <v>23</v>
      </c>
      <c r="E1409" s="0" t="s">
        <v>3513</v>
      </c>
      <c r="F1409" s="3" t="n">
        <f aca="false">D1409*_xlfn.XLOOKUP(C1409,Item_Master!A:A,Item_Master!G:G)</f>
        <v>13340</v>
      </c>
      <c r="G1409" s="0" t="str">
        <f aca="false">TEXT(B1409,"MMM YYYY")</f>
        <v>Feb 2026</v>
      </c>
    </row>
    <row r="1410" customFormat="false" ht="15" hidden="false" customHeight="false" outlineLevel="0" collapsed="false">
      <c r="A1410" s="0" t="s">
        <v>3514</v>
      </c>
      <c r="B1410" s="4" t="n">
        <v>46057</v>
      </c>
      <c r="C1410" s="0" t="s">
        <v>26</v>
      </c>
      <c r="D1410" s="0" t="n">
        <v>5</v>
      </c>
      <c r="E1410" s="0" t="s">
        <v>3515</v>
      </c>
      <c r="F1410" s="3" t="n">
        <f aca="false">D1410*_xlfn.XLOOKUP(C1410,Item_Master!A:A,Item_Master!G:G)</f>
        <v>6600</v>
      </c>
      <c r="G1410" s="0" t="str">
        <f aca="false">TEXT(B1410,"MMM YYYY")</f>
        <v>Feb 2026</v>
      </c>
    </row>
    <row r="1411" customFormat="false" ht="15" hidden="false" customHeight="false" outlineLevel="0" collapsed="false">
      <c r="A1411" s="0" t="s">
        <v>3516</v>
      </c>
      <c r="B1411" s="4" t="n">
        <v>46057</v>
      </c>
      <c r="C1411" s="0" t="s">
        <v>193</v>
      </c>
      <c r="D1411" s="0" t="n">
        <v>21</v>
      </c>
      <c r="E1411" s="0" t="s">
        <v>3517</v>
      </c>
      <c r="F1411" s="3" t="n">
        <f aca="false">D1411*_xlfn.XLOOKUP(C1411,Item_Master!A:A,Item_Master!G:G)</f>
        <v>399630</v>
      </c>
      <c r="G1411" s="0" t="str">
        <f aca="false">TEXT(B1411,"MMM YYYY")</f>
        <v>Feb 2026</v>
      </c>
    </row>
    <row r="1412" customFormat="false" ht="15" hidden="false" customHeight="false" outlineLevel="0" collapsed="false">
      <c r="A1412" s="0" t="s">
        <v>3518</v>
      </c>
      <c r="B1412" s="4" t="n">
        <v>46057</v>
      </c>
      <c r="C1412" s="0" t="s">
        <v>297</v>
      </c>
      <c r="D1412" s="0" t="n">
        <v>36</v>
      </c>
      <c r="E1412" s="0" t="s">
        <v>3519</v>
      </c>
      <c r="F1412" s="3" t="n">
        <f aca="false">D1412*_xlfn.XLOOKUP(C1412,Item_Master!A:A,Item_Master!G:G)</f>
        <v>24480</v>
      </c>
      <c r="G1412" s="0" t="str">
        <f aca="false">TEXT(B1412,"MMM YYYY")</f>
        <v>Feb 2026</v>
      </c>
    </row>
    <row r="1413" customFormat="false" ht="15" hidden="false" customHeight="false" outlineLevel="0" collapsed="false">
      <c r="A1413" s="0" t="s">
        <v>3520</v>
      </c>
      <c r="B1413" s="4" t="n">
        <v>46057</v>
      </c>
      <c r="C1413" s="0" t="s">
        <v>349</v>
      </c>
      <c r="D1413" s="0" t="n">
        <v>7</v>
      </c>
      <c r="E1413" s="0" t="s">
        <v>3521</v>
      </c>
      <c r="F1413" s="3" t="n">
        <f aca="false">D1413*_xlfn.XLOOKUP(C1413,Item_Master!A:A,Item_Master!G:G)</f>
        <v>19810</v>
      </c>
      <c r="G1413" s="0" t="str">
        <f aca="false">TEXT(B1413,"MMM YYYY")</f>
        <v>Feb 2026</v>
      </c>
    </row>
    <row r="1414" customFormat="false" ht="15" hidden="false" customHeight="false" outlineLevel="0" collapsed="false">
      <c r="A1414" s="0" t="s">
        <v>3522</v>
      </c>
      <c r="B1414" s="4" t="n">
        <v>46057</v>
      </c>
      <c r="C1414" s="0" t="s">
        <v>403</v>
      </c>
      <c r="D1414" s="0" t="n">
        <v>18</v>
      </c>
      <c r="E1414" s="0" t="s">
        <v>3523</v>
      </c>
      <c r="F1414" s="3" t="n">
        <f aca="false">D1414*_xlfn.XLOOKUP(C1414,Item_Master!A:A,Item_Master!G:G)</f>
        <v>70380</v>
      </c>
      <c r="G1414" s="0" t="str">
        <f aca="false">TEXT(B1414,"MMM YYYY")</f>
        <v>Feb 2026</v>
      </c>
    </row>
    <row r="1415" customFormat="false" ht="15" hidden="false" customHeight="false" outlineLevel="0" collapsed="false">
      <c r="A1415" s="0" t="s">
        <v>3524</v>
      </c>
      <c r="B1415" s="4" t="n">
        <v>46057</v>
      </c>
      <c r="C1415" s="0" t="s">
        <v>632</v>
      </c>
      <c r="D1415" s="0" t="n">
        <v>2</v>
      </c>
      <c r="E1415" s="0" t="s">
        <v>3525</v>
      </c>
      <c r="F1415" s="3" t="n">
        <f aca="false">D1415*_xlfn.XLOOKUP(C1415,Item_Master!A:A,Item_Master!G:G)</f>
        <v>12900</v>
      </c>
      <c r="G1415" s="0" t="str">
        <f aca="false">TEXT(B1415,"MMM YYYY")</f>
        <v>Feb 2026</v>
      </c>
    </row>
    <row r="1416" customFormat="false" ht="15" hidden="false" customHeight="false" outlineLevel="0" collapsed="false">
      <c r="A1416" s="0" t="s">
        <v>3526</v>
      </c>
      <c r="B1416" s="4" t="n">
        <v>46057</v>
      </c>
      <c r="C1416" s="0" t="s">
        <v>681</v>
      </c>
      <c r="D1416" s="0" t="n">
        <v>1</v>
      </c>
      <c r="E1416" s="0" t="s">
        <v>3527</v>
      </c>
      <c r="F1416" s="3" t="n">
        <f aca="false">D1416*_xlfn.XLOOKUP(C1416,Item_Master!A:A,Item_Master!G:G)</f>
        <v>1230</v>
      </c>
      <c r="G1416" s="0" t="str">
        <f aca="false">TEXT(B1416,"MMM YYYY")</f>
        <v>Feb 2026</v>
      </c>
    </row>
    <row r="1417" customFormat="false" ht="15" hidden="false" customHeight="false" outlineLevel="0" collapsed="false">
      <c r="A1417" s="0" t="s">
        <v>3528</v>
      </c>
      <c r="B1417" s="4" t="n">
        <v>46057</v>
      </c>
      <c r="C1417" s="0" t="s">
        <v>681</v>
      </c>
      <c r="D1417" s="0" t="n">
        <v>1</v>
      </c>
      <c r="E1417" s="0" t="s">
        <v>3529</v>
      </c>
      <c r="F1417" s="3" t="n">
        <f aca="false">D1417*_xlfn.XLOOKUP(C1417,Item_Master!A:A,Item_Master!G:G)</f>
        <v>1230</v>
      </c>
      <c r="G1417" s="0" t="str">
        <f aca="false">TEXT(B1417,"MMM YYYY")</f>
        <v>Feb 2026</v>
      </c>
    </row>
    <row r="1418" customFormat="false" ht="15" hidden="false" customHeight="false" outlineLevel="0" collapsed="false">
      <c r="A1418" s="0" t="s">
        <v>3530</v>
      </c>
      <c r="B1418" s="4" t="n">
        <v>46058</v>
      </c>
      <c r="C1418" s="0" t="s">
        <v>144</v>
      </c>
      <c r="D1418" s="0" t="n">
        <v>15</v>
      </c>
      <c r="E1418" s="0" t="s">
        <v>3531</v>
      </c>
      <c r="F1418" s="3" t="n">
        <f aca="false">D1418*_xlfn.XLOOKUP(C1418,Item_Master!A:A,Item_Master!G:G)</f>
        <v>13950</v>
      </c>
      <c r="G1418" s="0" t="str">
        <f aca="false">TEXT(B1418,"MMM YYYY")</f>
        <v>Feb 2026</v>
      </c>
    </row>
    <row r="1419" customFormat="false" ht="15" hidden="false" customHeight="false" outlineLevel="0" collapsed="false">
      <c r="A1419" s="0" t="s">
        <v>3532</v>
      </c>
      <c r="B1419" s="4" t="n">
        <v>46058</v>
      </c>
      <c r="C1419" s="0" t="s">
        <v>151</v>
      </c>
      <c r="D1419" s="0" t="n">
        <v>20</v>
      </c>
      <c r="E1419" s="0" t="s">
        <v>3533</v>
      </c>
      <c r="F1419" s="3" t="n">
        <f aca="false">D1419*_xlfn.XLOOKUP(C1419,Item_Master!A:A,Item_Master!G:G)</f>
        <v>51200</v>
      </c>
      <c r="G1419" s="0" t="str">
        <f aca="false">TEXT(B1419,"MMM YYYY")</f>
        <v>Feb 2026</v>
      </c>
    </row>
    <row r="1420" customFormat="false" ht="15" hidden="false" customHeight="false" outlineLevel="0" collapsed="false">
      <c r="A1420" s="0" t="s">
        <v>3534</v>
      </c>
      <c r="B1420" s="4" t="n">
        <v>46058</v>
      </c>
      <c r="C1420" s="0" t="s">
        <v>245</v>
      </c>
      <c r="D1420" s="0" t="n">
        <v>38</v>
      </c>
      <c r="E1420" s="0" t="s">
        <v>3535</v>
      </c>
      <c r="F1420" s="3" t="n">
        <f aca="false">D1420*_xlfn.XLOOKUP(C1420,Item_Master!A:A,Item_Master!G:G)</f>
        <v>86640</v>
      </c>
      <c r="G1420" s="0" t="str">
        <f aca="false">TEXT(B1420,"MMM YYYY")</f>
        <v>Feb 2026</v>
      </c>
    </row>
    <row r="1421" customFormat="false" ht="15" hidden="false" customHeight="false" outlineLevel="0" collapsed="false">
      <c r="A1421" s="0" t="s">
        <v>3536</v>
      </c>
      <c r="B1421" s="4" t="n">
        <v>46058</v>
      </c>
      <c r="C1421" s="0" t="s">
        <v>273</v>
      </c>
      <c r="D1421" s="0" t="n">
        <v>40</v>
      </c>
      <c r="E1421" s="0" t="s">
        <v>3537</v>
      </c>
      <c r="F1421" s="3" t="n">
        <f aca="false">D1421*_xlfn.XLOOKUP(C1421,Item_Master!A:A,Item_Master!G:G)</f>
        <v>89600</v>
      </c>
      <c r="G1421" s="0" t="str">
        <f aca="false">TEXT(B1421,"MMM YYYY")</f>
        <v>Feb 2026</v>
      </c>
    </row>
    <row r="1422" customFormat="false" ht="15" hidden="false" customHeight="false" outlineLevel="0" collapsed="false">
      <c r="A1422" s="0" t="s">
        <v>3538</v>
      </c>
      <c r="B1422" s="4" t="n">
        <v>46058</v>
      </c>
      <c r="C1422" s="0" t="s">
        <v>404</v>
      </c>
      <c r="D1422" s="0" t="n">
        <v>25</v>
      </c>
      <c r="E1422" s="0" t="s">
        <v>3539</v>
      </c>
      <c r="F1422" s="3" t="n">
        <f aca="false">D1422*_xlfn.XLOOKUP(C1422,Item_Master!A:A,Item_Master!G:G)</f>
        <v>44000</v>
      </c>
      <c r="G1422" s="0" t="str">
        <f aca="false">TEXT(B1422,"MMM YYYY")</f>
        <v>Feb 2026</v>
      </c>
    </row>
    <row r="1423" customFormat="false" ht="15" hidden="false" customHeight="false" outlineLevel="0" collapsed="false">
      <c r="A1423" s="0" t="s">
        <v>3540</v>
      </c>
      <c r="B1423" s="4" t="n">
        <v>46058</v>
      </c>
      <c r="C1423" s="0" t="s">
        <v>417</v>
      </c>
      <c r="D1423" s="0" t="n">
        <v>2</v>
      </c>
      <c r="E1423" s="0" t="s">
        <v>3541</v>
      </c>
      <c r="F1423" s="3" t="n">
        <f aca="false">D1423*_xlfn.XLOOKUP(C1423,Item_Master!A:A,Item_Master!G:G)</f>
        <v>4280</v>
      </c>
      <c r="G1423" s="0" t="str">
        <f aca="false">TEXT(B1423,"MMM YYYY")</f>
        <v>Feb 2026</v>
      </c>
    </row>
    <row r="1424" customFormat="false" ht="15" hidden="false" customHeight="false" outlineLevel="0" collapsed="false">
      <c r="A1424" s="0" t="s">
        <v>3542</v>
      </c>
      <c r="B1424" s="4" t="n">
        <v>46058</v>
      </c>
      <c r="C1424" s="0" t="s">
        <v>582</v>
      </c>
      <c r="D1424" s="0" t="n">
        <v>18</v>
      </c>
      <c r="E1424" s="0" t="s">
        <v>3543</v>
      </c>
      <c r="F1424" s="3" t="n">
        <f aca="false">D1424*_xlfn.XLOOKUP(C1424,Item_Master!A:A,Item_Master!G:G)</f>
        <v>347220</v>
      </c>
      <c r="G1424" s="0" t="str">
        <f aca="false">TEXT(B1424,"MMM YYYY")</f>
        <v>Feb 2026</v>
      </c>
    </row>
    <row r="1425" customFormat="false" ht="15" hidden="false" customHeight="false" outlineLevel="0" collapsed="false">
      <c r="A1425" s="0" t="s">
        <v>3544</v>
      </c>
      <c r="B1425" s="4" t="n">
        <v>46058</v>
      </c>
      <c r="C1425" s="0" t="s">
        <v>631</v>
      </c>
      <c r="D1425" s="0" t="n">
        <v>12</v>
      </c>
      <c r="E1425" s="0" t="s">
        <v>3545</v>
      </c>
      <c r="F1425" s="3" t="n">
        <f aca="false">D1425*_xlfn.XLOOKUP(C1425,Item_Master!A:A,Item_Master!G:G)</f>
        <v>9720</v>
      </c>
      <c r="G1425" s="0" t="str">
        <f aca="false">TEXT(B1425,"MMM YYYY")</f>
        <v>Feb 2026</v>
      </c>
    </row>
    <row r="1426" customFormat="false" ht="15" hidden="false" customHeight="false" outlineLevel="0" collapsed="false">
      <c r="A1426" s="0" t="s">
        <v>3546</v>
      </c>
      <c r="B1426" s="4" t="n">
        <v>46058</v>
      </c>
      <c r="C1426" s="0" t="s">
        <v>702</v>
      </c>
      <c r="D1426" s="0" t="n">
        <v>29</v>
      </c>
      <c r="E1426" s="0" t="s">
        <v>3547</v>
      </c>
      <c r="F1426" s="3" t="n">
        <f aca="false">D1426*_xlfn.XLOOKUP(C1426,Item_Master!A:A,Item_Master!G:G)</f>
        <v>66990</v>
      </c>
      <c r="G1426" s="0" t="str">
        <f aca="false">TEXT(B1426,"MMM YYYY")</f>
        <v>Feb 2026</v>
      </c>
    </row>
    <row r="1427" customFormat="false" ht="15" hidden="false" customHeight="false" outlineLevel="0" collapsed="false">
      <c r="A1427" s="0" t="s">
        <v>3548</v>
      </c>
      <c r="B1427" s="4" t="n">
        <v>46059</v>
      </c>
      <c r="C1427" s="0" t="s">
        <v>8</v>
      </c>
      <c r="D1427" s="0" t="n">
        <v>40</v>
      </c>
      <c r="E1427" s="0" t="s">
        <v>3549</v>
      </c>
      <c r="F1427" s="3" t="n">
        <f aca="false">D1427*_xlfn.XLOOKUP(C1427,Item_Master!A:A,Item_Master!G:G)</f>
        <v>86400</v>
      </c>
      <c r="G1427" s="0" t="str">
        <f aca="false">TEXT(B1427,"MMM YYYY")</f>
        <v>Feb 2026</v>
      </c>
    </row>
    <row r="1428" customFormat="false" ht="15" hidden="false" customHeight="false" outlineLevel="0" collapsed="false">
      <c r="A1428" s="0" t="s">
        <v>3550</v>
      </c>
      <c r="B1428" s="4" t="n">
        <v>46059</v>
      </c>
      <c r="C1428" s="0" t="s">
        <v>77</v>
      </c>
      <c r="D1428" s="0" t="n">
        <v>25</v>
      </c>
      <c r="E1428" s="0" t="s">
        <v>3551</v>
      </c>
      <c r="F1428" s="3" t="n">
        <f aca="false">D1428*_xlfn.XLOOKUP(C1428,Item_Master!A:A,Item_Master!G:G)</f>
        <v>23750</v>
      </c>
      <c r="G1428" s="0" t="str">
        <f aca="false">TEXT(B1428,"MMM YYYY")</f>
        <v>Feb 2026</v>
      </c>
    </row>
    <row r="1429" customFormat="false" ht="15" hidden="false" customHeight="false" outlineLevel="0" collapsed="false">
      <c r="A1429" s="0" t="s">
        <v>3552</v>
      </c>
      <c r="B1429" s="4" t="n">
        <v>46059</v>
      </c>
      <c r="C1429" s="0" t="s">
        <v>100</v>
      </c>
      <c r="D1429" s="0" t="n">
        <v>36</v>
      </c>
      <c r="E1429" s="0" t="s">
        <v>3553</v>
      </c>
      <c r="F1429" s="3" t="n">
        <f aca="false">D1429*_xlfn.XLOOKUP(C1429,Item_Master!A:A,Item_Master!G:G)</f>
        <v>363960</v>
      </c>
      <c r="G1429" s="0" t="str">
        <f aca="false">TEXT(B1429,"MMM YYYY")</f>
        <v>Feb 2026</v>
      </c>
    </row>
    <row r="1430" customFormat="false" ht="15" hidden="false" customHeight="false" outlineLevel="0" collapsed="false">
      <c r="A1430" s="0" t="s">
        <v>3554</v>
      </c>
      <c r="B1430" s="4" t="n">
        <v>46059</v>
      </c>
      <c r="C1430" s="0" t="s">
        <v>148</v>
      </c>
      <c r="D1430" s="0" t="n">
        <v>8</v>
      </c>
      <c r="E1430" s="0" t="s">
        <v>3555</v>
      </c>
      <c r="F1430" s="3" t="n">
        <f aca="false">D1430*_xlfn.XLOOKUP(C1430,Item_Master!A:A,Item_Master!G:G)</f>
        <v>3440</v>
      </c>
      <c r="G1430" s="0" t="str">
        <f aca="false">TEXT(B1430,"MMM YYYY")</f>
        <v>Feb 2026</v>
      </c>
    </row>
    <row r="1431" customFormat="false" ht="15" hidden="false" customHeight="false" outlineLevel="0" collapsed="false">
      <c r="A1431" s="0" t="s">
        <v>3556</v>
      </c>
      <c r="B1431" s="4" t="n">
        <v>46059</v>
      </c>
      <c r="C1431" s="0" t="s">
        <v>232</v>
      </c>
      <c r="D1431" s="0" t="n">
        <v>9</v>
      </c>
      <c r="E1431" s="0" t="s">
        <v>3557</v>
      </c>
      <c r="F1431" s="3" t="n">
        <f aca="false">D1431*_xlfn.XLOOKUP(C1431,Item_Master!A:A,Item_Master!G:G)</f>
        <v>30780</v>
      </c>
      <c r="G1431" s="0" t="str">
        <f aca="false">TEXT(B1431,"MMM YYYY")</f>
        <v>Feb 2026</v>
      </c>
    </row>
    <row r="1432" customFormat="false" ht="15" hidden="false" customHeight="false" outlineLevel="0" collapsed="false">
      <c r="A1432" s="0" t="s">
        <v>3558</v>
      </c>
      <c r="B1432" s="4" t="n">
        <v>46059</v>
      </c>
      <c r="C1432" s="0" t="s">
        <v>273</v>
      </c>
      <c r="D1432" s="0" t="n">
        <v>22</v>
      </c>
      <c r="E1432" s="0" t="s">
        <v>3559</v>
      </c>
      <c r="F1432" s="3" t="n">
        <f aca="false">D1432*_xlfn.XLOOKUP(C1432,Item_Master!A:A,Item_Master!G:G)</f>
        <v>49280</v>
      </c>
      <c r="G1432" s="0" t="str">
        <f aca="false">TEXT(B1432,"MMM YYYY")</f>
        <v>Feb 2026</v>
      </c>
    </row>
    <row r="1433" customFormat="false" ht="15" hidden="false" customHeight="false" outlineLevel="0" collapsed="false">
      <c r="A1433" s="0" t="s">
        <v>3560</v>
      </c>
      <c r="B1433" s="4" t="n">
        <v>46059</v>
      </c>
      <c r="C1433" s="0" t="s">
        <v>293</v>
      </c>
      <c r="D1433" s="0" t="n">
        <v>5</v>
      </c>
      <c r="E1433" s="0" t="s">
        <v>3561</v>
      </c>
      <c r="F1433" s="3" t="n">
        <f aca="false">D1433*_xlfn.XLOOKUP(C1433,Item_Master!A:A,Item_Master!G:G)</f>
        <v>3050</v>
      </c>
      <c r="G1433" s="0" t="str">
        <f aca="false">TEXT(B1433,"MMM YYYY")</f>
        <v>Feb 2026</v>
      </c>
    </row>
    <row r="1434" customFormat="false" ht="15" hidden="false" customHeight="false" outlineLevel="0" collapsed="false">
      <c r="A1434" s="0" t="s">
        <v>3562</v>
      </c>
      <c r="B1434" s="4" t="n">
        <v>46059</v>
      </c>
      <c r="C1434" s="0" t="s">
        <v>312</v>
      </c>
      <c r="D1434" s="0" t="n">
        <v>23</v>
      </c>
      <c r="E1434" s="0" t="s">
        <v>3563</v>
      </c>
      <c r="F1434" s="3" t="n">
        <f aca="false">D1434*_xlfn.XLOOKUP(C1434,Item_Master!A:A,Item_Master!G:G)</f>
        <v>19090</v>
      </c>
      <c r="G1434" s="0" t="str">
        <f aca="false">TEXT(B1434,"MMM YYYY")</f>
        <v>Feb 2026</v>
      </c>
    </row>
    <row r="1435" customFormat="false" ht="15" hidden="false" customHeight="false" outlineLevel="0" collapsed="false">
      <c r="A1435" s="0" t="s">
        <v>3564</v>
      </c>
      <c r="B1435" s="4" t="n">
        <v>46059</v>
      </c>
      <c r="C1435" s="0" t="s">
        <v>351</v>
      </c>
      <c r="D1435" s="0" t="n">
        <v>31</v>
      </c>
      <c r="E1435" s="0" t="s">
        <v>3565</v>
      </c>
      <c r="F1435" s="3" t="n">
        <f aca="false">D1435*_xlfn.XLOOKUP(C1435,Item_Master!A:A,Item_Master!G:G)</f>
        <v>55180</v>
      </c>
      <c r="G1435" s="0" t="str">
        <f aca="false">TEXT(B1435,"MMM YYYY")</f>
        <v>Feb 2026</v>
      </c>
    </row>
    <row r="1436" customFormat="false" ht="15" hidden="false" customHeight="false" outlineLevel="0" collapsed="false">
      <c r="A1436" s="0" t="s">
        <v>3566</v>
      </c>
      <c r="B1436" s="4" t="n">
        <v>46059</v>
      </c>
      <c r="C1436" s="0" t="s">
        <v>480</v>
      </c>
      <c r="D1436" s="0" t="n">
        <v>26</v>
      </c>
      <c r="E1436" s="0" t="s">
        <v>3567</v>
      </c>
      <c r="F1436" s="3" t="n">
        <f aca="false">D1436*_xlfn.XLOOKUP(C1436,Item_Master!A:A,Item_Master!G:G)</f>
        <v>68380</v>
      </c>
      <c r="G1436" s="0" t="str">
        <f aca="false">TEXT(B1436,"MMM YYYY")</f>
        <v>Feb 2026</v>
      </c>
    </row>
    <row r="1437" customFormat="false" ht="15" hidden="false" customHeight="false" outlineLevel="0" collapsed="false">
      <c r="A1437" s="0" t="s">
        <v>3568</v>
      </c>
      <c r="B1437" s="4" t="n">
        <v>46059</v>
      </c>
      <c r="C1437" s="0" t="s">
        <v>484</v>
      </c>
      <c r="D1437" s="0" t="n">
        <v>1</v>
      </c>
      <c r="E1437" s="0" t="s">
        <v>3569</v>
      </c>
      <c r="F1437" s="3" t="n">
        <f aca="false">D1437*_xlfn.XLOOKUP(C1437,Item_Master!A:A,Item_Master!G:G)</f>
        <v>2430</v>
      </c>
      <c r="G1437" s="0" t="str">
        <f aca="false">TEXT(B1437,"MMM YYYY")</f>
        <v>Feb 2026</v>
      </c>
    </row>
    <row r="1438" customFormat="false" ht="15" hidden="false" customHeight="false" outlineLevel="0" collapsed="false">
      <c r="A1438" s="0" t="s">
        <v>3570</v>
      </c>
      <c r="B1438" s="4" t="n">
        <v>46059</v>
      </c>
      <c r="C1438" s="0" t="s">
        <v>518</v>
      </c>
      <c r="D1438" s="0" t="n">
        <v>20</v>
      </c>
      <c r="E1438" s="0" t="s">
        <v>3571</v>
      </c>
      <c r="F1438" s="3" t="n">
        <f aca="false">D1438*_xlfn.XLOOKUP(C1438,Item_Master!A:A,Item_Master!G:G)</f>
        <v>65800</v>
      </c>
      <c r="G1438" s="0" t="str">
        <f aca="false">TEXT(B1438,"MMM YYYY")</f>
        <v>Feb 2026</v>
      </c>
    </row>
    <row r="1439" customFormat="false" ht="15" hidden="false" customHeight="false" outlineLevel="0" collapsed="false">
      <c r="A1439" s="0" t="s">
        <v>3572</v>
      </c>
      <c r="B1439" s="4" t="n">
        <v>46059</v>
      </c>
      <c r="C1439" s="0" t="s">
        <v>604</v>
      </c>
      <c r="D1439" s="0" t="n">
        <v>32</v>
      </c>
      <c r="E1439" s="0" t="s">
        <v>847</v>
      </c>
      <c r="F1439" s="3" t="n">
        <f aca="false">D1439*_xlfn.XLOOKUP(C1439,Item_Master!A:A,Item_Master!G:G)</f>
        <v>48000</v>
      </c>
      <c r="G1439" s="0" t="str">
        <f aca="false">TEXT(B1439,"MMM YYYY")</f>
        <v>Feb 2026</v>
      </c>
    </row>
    <row r="1440" customFormat="false" ht="15" hidden="false" customHeight="false" outlineLevel="0" collapsed="false">
      <c r="A1440" s="0" t="s">
        <v>3573</v>
      </c>
      <c r="B1440" s="4" t="n">
        <v>46059</v>
      </c>
      <c r="C1440" s="0" t="s">
        <v>608</v>
      </c>
      <c r="D1440" s="0" t="n">
        <v>8</v>
      </c>
      <c r="E1440" s="0" t="s">
        <v>3574</v>
      </c>
      <c r="F1440" s="3" t="n">
        <f aca="false">D1440*_xlfn.XLOOKUP(C1440,Item_Master!A:A,Item_Master!G:G)</f>
        <v>12720</v>
      </c>
      <c r="G1440" s="0" t="str">
        <f aca="false">TEXT(B1440,"MMM YYYY")</f>
        <v>Feb 2026</v>
      </c>
    </row>
    <row r="1441" customFormat="false" ht="15" hidden="false" customHeight="false" outlineLevel="0" collapsed="false">
      <c r="A1441" s="0" t="s">
        <v>3575</v>
      </c>
      <c r="B1441" s="4" t="n">
        <v>46059</v>
      </c>
      <c r="C1441" s="0" t="s">
        <v>624</v>
      </c>
      <c r="D1441" s="0" t="n">
        <v>12</v>
      </c>
      <c r="E1441" s="0" t="s">
        <v>3576</v>
      </c>
      <c r="F1441" s="3" t="n">
        <f aca="false">D1441*_xlfn.XLOOKUP(C1441,Item_Master!A:A,Item_Master!G:G)</f>
        <v>7440</v>
      </c>
      <c r="G1441" s="0" t="str">
        <f aca="false">TEXT(B1441,"MMM YYYY")</f>
        <v>Feb 2026</v>
      </c>
    </row>
    <row r="1442" customFormat="false" ht="15" hidden="false" customHeight="false" outlineLevel="0" collapsed="false">
      <c r="A1442" s="0" t="s">
        <v>3577</v>
      </c>
      <c r="B1442" s="4" t="n">
        <v>46060</v>
      </c>
      <c r="C1442" s="0" t="s">
        <v>51</v>
      </c>
      <c r="D1442" s="0" t="n">
        <v>34</v>
      </c>
      <c r="E1442" s="0" t="s">
        <v>3578</v>
      </c>
      <c r="F1442" s="3" t="n">
        <f aca="false">D1442*_xlfn.XLOOKUP(C1442,Item_Master!A:A,Item_Master!G:G)</f>
        <v>427040</v>
      </c>
      <c r="G1442" s="0" t="str">
        <f aca="false">TEXT(B1442,"MMM YYYY")</f>
        <v>Feb 2026</v>
      </c>
    </row>
    <row r="1443" customFormat="false" ht="15" hidden="false" customHeight="false" outlineLevel="0" collapsed="false">
      <c r="A1443" s="0" t="s">
        <v>3579</v>
      </c>
      <c r="B1443" s="4" t="n">
        <v>46060</v>
      </c>
      <c r="C1443" s="0" t="s">
        <v>58</v>
      </c>
      <c r="D1443" s="0" t="n">
        <v>2</v>
      </c>
      <c r="E1443" s="0" t="s">
        <v>3580</v>
      </c>
      <c r="F1443" s="3" t="n">
        <f aca="false">D1443*_xlfn.XLOOKUP(C1443,Item_Master!A:A,Item_Master!G:G)</f>
        <v>2020</v>
      </c>
      <c r="G1443" s="0" t="str">
        <f aca="false">TEXT(B1443,"MMM YYYY")</f>
        <v>Feb 2026</v>
      </c>
    </row>
    <row r="1444" customFormat="false" ht="15" hidden="false" customHeight="false" outlineLevel="0" collapsed="false">
      <c r="A1444" s="0" t="s">
        <v>3581</v>
      </c>
      <c r="B1444" s="4" t="n">
        <v>46060</v>
      </c>
      <c r="C1444" s="0" t="s">
        <v>219</v>
      </c>
      <c r="D1444" s="0" t="n">
        <v>28</v>
      </c>
      <c r="E1444" s="0" t="s">
        <v>3582</v>
      </c>
      <c r="F1444" s="3" t="n">
        <f aca="false">D1444*_xlfn.XLOOKUP(C1444,Item_Master!A:A,Item_Master!G:G)</f>
        <v>34160</v>
      </c>
      <c r="G1444" s="0" t="str">
        <f aca="false">TEXT(B1444,"MMM YYYY")</f>
        <v>Feb 2026</v>
      </c>
    </row>
    <row r="1445" customFormat="false" ht="15" hidden="false" customHeight="false" outlineLevel="0" collapsed="false">
      <c r="A1445" s="0" t="s">
        <v>3583</v>
      </c>
      <c r="B1445" s="4" t="n">
        <v>46060</v>
      </c>
      <c r="C1445" s="0" t="s">
        <v>232</v>
      </c>
      <c r="D1445" s="0" t="n">
        <v>32</v>
      </c>
      <c r="E1445" s="0" t="s">
        <v>3584</v>
      </c>
      <c r="F1445" s="3" t="n">
        <f aca="false">D1445*_xlfn.XLOOKUP(C1445,Item_Master!A:A,Item_Master!G:G)</f>
        <v>109440</v>
      </c>
      <c r="G1445" s="0" t="str">
        <f aca="false">TEXT(B1445,"MMM YYYY")</f>
        <v>Feb 2026</v>
      </c>
    </row>
    <row r="1446" customFormat="false" ht="15" hidden="false" customHeight="false" outlineLevel="0" collapsed="false">
      <c r="A1446" s="0" t="s">
        <v>3585</v>
      </c>
      <c r="B1446" s="4" t="n">
        <v>46060</v>
      </c>
      <c r="C1446" s="0" t="s">
        <v>295</v>
      </c>
      <c r="D1446" s="0" t="n">
        <v>38</v>
      </c>
      <c r="E1446" s="0" t="s">
        <v>3586</v>
      </c>
      <c r="F1446" s="3" t="n">
        <f aca="false">D1446*_xlfn.XLOOKUP(C1446,Item_Master!A:A,Item_Master!G:G)</f>
        <v>22420</v>
      </c>
      <c r="G1446" s="0" t="str">
        <f aca="false">TEXT(B1446,"MMM YYYY")</f>
        <v>Feb 2026</v>
      </c>
    </row>
    <row r="1447" customFormat="false" ht="15" hidden="false" customHeight="false" outlineLevel="0" collapsed="false">
      <c r="A1447" s="0" t="s">
        <v>3587</v>
      </c>
      <c r="B1447" s="4" t="n">
        <v>46060</v>
      </c>
      <c r="C1447" s="0" t="s">
        <v>343</v>
      </c>
      <c r="D1447" s="0" t="n">
        <v>21</v>
      </c>
      <c r="E1447" s="0" t="s">
        <v>3588</v>
      </c>
      <c r="F1447" s="3" t="n">
        <f aca="false">D1447*_xlfn.XLOOKUP(C1447,Item_Master!A:A,Item_Master!G:G)</f>
        <v>36750</v>
      </c>
      <c r="G1447" s="0" t="str">
        <f aca="false">TEXT(B1447,"MMM YYYY")</f>
        <v>Feb 2026</v>
      </c>
    </row>
    <row r="1448" customFormat="false" ht="15" hidden="false" customHeight="false" outlineLevel="0" collapsed="false">
      <c r="A1448" s="0" t="s">
        <v>3589</v>
      </c>
      <c r="B1448" s="4" t="n">
        <v>46060</v>
      </c>
      <c r="C1448" s="0" t="s">
        <v>349</v>
      </c>
      <c r="D1448" s="0" t="n">
        <v>19</v>
      </c>
      <c r="E1448" s="0" t="s">
        <v>3590</v>
      </c>
      <c r="F1448" s="3" t="n">
        <f aca="false">D1448*_xlfn.XLOOKUP(C1448,Item_Master!A:A,Item_Master!G:G)</f>
        <v>53770</v>
      </c>
      <c r="G1448" s="0" t="str">
        <f aca="false">TEXT(B1448,"MMM YYYY")</f>
        <v>Feb 2026</v>
      </c>
    </row>
    <row r="1449" customFormat="false" ht="15" hidden="false" customHeight="false" outlineLevel="0" collapsed="false">
      <c r="A1449" s="0" t="s">
        <v>3591</v>
      </c>
      <c r="B1449" s="4" t="n">
        <v>46060</v>
      </c>
      <c r="C1449" s="0" t="s">
        <v>372</v>
      </c>
      <c r="D1449" s="0" t="n">
        <v>1</v>
      </c>
      <c r="E1449" s="0" t="s">
        <v>3592</v>
      </c>
      <c r="F1449" s="3" t="n">
        <f aca="false">D1449*_xlfn.XLOOKUP(C1449,Item_Master!A:A,Item_Master!G:G)</f>
        <v>4450</v>
      </c>
      <c r="G1449" s="0" t="str">
        <f aca="false">TEXT(B1449,"MMM YYYY")</f>
        <v>Feb 2026</v>
      </c>
    </row>
    <row r="1450" customFormat="false" ht="15" hidden="false" customHeight="false" outlineLevel="0" collapsed="false">
      <c r="A1450" s="0" t="s">
        <v>3593</v>
      </c>
      <c r="B1450" s="4" t="n">
        <v>46060</v>
      </c>
      <c r="C1450" s="0" t="s">
        <v>404</v>
      </c>
      <c r="D1450" s="0" t="n">
        <v>22</v>
      </c>
      <c r="E1450" s="0" t="s">
        <v>3594</v>
      </c>
      <c r="F1450" s="3" t="n">
        <f aca="false">D1450*_xlfn.XLOOKUP(C1450,Item_Master!A:A,Item_Master!G:G)</f>
        <v>38720</v>
      </c>
      <c r="G1450" s="0" t="str">
        <f aca="false">TEXT(B1450,"MMM YYYY")</f>
        <v>Feb 2026</v>
      </c>
    </row>
    <row r="1451" customFormat="false" ht="15" hidden="false" customHeight="false" outlineLevel="0" collapsed="false">
      <c r="A1451" s="0" t="s">
        <v>3595</v>
      </c>
      <c r="B1451" s="4" t="n">
        <v>46060</v>
      </c>
      <c r="C1451" s="0" t="s">
        <v>490</v>
      </c>
      <c r="D1451" s="0" t="n">
        <v>32</v>
      </c>
      <c r="E1451" s="0" t="s">
        <v>3596</v>
      </c>
      <c r="F1451" s="3" t="n">
        <f aca="false">D1451*_xlfn.XLOOKUP(C1451,Item_Master!A:A,Item_Master!G:G)</f>
        <v>141440</v>
      </c>
      <c r="G1451" s="0" t="str">
        <f aca="false">TEXT(B1451,"MMM YYYY")</f>
        <v>Feb 2026</v>
      </c>
    </row>
    <row r="1452" customFormat="false" ht="15" hidden="false" customHeight="false" outlineLevel="0" collapsed="false">
      <c r="A1452" s="0" t="s">
        <v>3597</v>
      </c>
      <c r="B1452" s="4" t="n">
        <v>46060</v>
      </c>
      <c r="C1452" s="0" t="s">
        <v>643</v>
      </c>
      <c r="D1452" s="0" t="n">
        <v>29</v>
      </c>
      <c r="E1452" s="0" t="s">
        <v>3598</v>
      </c>
      <c r="F1452" s="3" t="n">
        <f aca="false">D1452*_xlfn.XLOOKUP(C1452,Item_Master!A:A,Item_Master!G:G)</f>
        <v>40600</v>
      </c>
      <c r="G1452" s="0" t="str">
        <f aca="false">TEXT(B1452,"MMM YYYY")</f>
        <v>Feb 2026</v>
      </c>
    </row>
    <row r="1453" customFormat="false" ht="15" hidden="false" customHeight="false" outlineLevel="0" collapsed="false">
      <c r="A1453" s="0" t="s">
        <v>3599</v>
      </c>
      <c r="B1453" s="4" t="n">
        <v>46060</v>
      </c>
      <c r="C1453" s="0" t="s">
        <v>686</v>
      </c>
      <c r="D1453" s="0" t="n">
        <v>33</v>
      </c>
      <c r="E1453" s="0" t="s">
        <v>3600</v>
      </c>
      <c r="F1453" s="3" t="n">
        <f aca="false">D1453*_xlfn.XLOOKUP(C1453,Item_Master!A:A,Item_Master!G:G)</f>
        <v>115170</v>
      </c>
      <c r="G1453" s="0" t="str">
        <f aca="false">TEXT(B1453,"MMM YYYY")</f>
        <v>Feb 2026</v>
      </c>
    </row>
    <row r="1454" customFormat="false" ht="15" hidden="false" customHeight="false" outlineLevel="0" collapsed="false">
      <c r="A1454" s="0" t="s">
        <v>3601</v>
      </c>
      <c r="B1454" s="4" t="n">
        <v>46061</v>
      </c>
      <c r="C1454" s="0" t="s">
        <v>308</v>
      </c>
      <c r="D1454" s="0" t="n">
        <v>26</v>
      </c>
      <c r="E1454" s="0" t="s">
        <v>3602</v>
      </c>
      <c r="F1454" s="3" t="n">
        <f aca="false">D1454*_xlfn.XLOOKUP(C1454,Item_Master!A:A,Item_Master!G:G)</f>
        <v>4940</v>
      </c>
      <c r="G1454" s="0" t="str">
        <f aca="false">TEXT(B1454,"MMM YYYY")</f>
        <v>Feb 2026</v>
      </c>
    </row>
    <row r="1455" customFormat="false" ht="15" hidden="false" customHeight="false" outlineLevel="0" collapsed="false">
      <c r="A1455" s="0" t="s">
        <v>3603</v>
      </c>
      <c r="B1455" s="4" t="n">
        <v>46061</v>
      </c>
      <c r="C1455" s="0" t="s">
        <v>380</v>
      </c>
      <c r="D1455" s="0" t="n">
        <v>1</v>
      </c>
      <c r="E1455" s="0" t="s">
        <v>3604</v>
      </c>
      <c r="F1455" s="3" t="n">
        <f aca="false">D1455*_xlfn.XLOOKUP(C1455,Item_Master!A:A,Item_Master!G:G)</f>
        <v>3170</v>
      </c>
      <c r="G1455" s="0" t="str">
        <f aca="false">TEXT(B1455,"MMM YYYY")</f>
        <v>Feb 2026</v>
      </c>
    </row>
    <row r="1456" customFormat="false" ht="15" hidden="false" customHeight="false" outlineLevel="0" collapsed="false">
      <c r="A1456" s="0" t="s">
        <v>3605</v>
      </c>
      <c r="B1456" s="4" t="n">
        <v>46061</v>
      </c>
      <c r="C1456" s="0" t="s">
        <v>448</v>
      </c>
      <c r="D1456" s="0" t="n">
        <v>8</v>
      </c>
      <c r="E1456" s="0" t="s">
        <v>3606</v>
      </c>
      <c r="F1456" s="3" t="n">
        <f aca="false">D1456*_xlfn.XLOOKUP(C1456,Item_Master!A:A,Item_Master!G:G)</f>
        <v>2720</v>
      </c>
      <c r="G1456" s="0" t="str">
        <f aca="false">TEXT(B1456,"MMM YYYY")</f>
        <v>Feb 2026</v>
      </c>
    </row>
    <row r="1457" customFormat="false" ht="15" hidden="false" customHeight="false" outlineLevel="0" collapsed="false">
      <c r="A1457" s="0" t="s">
        <v>3607</v>
      </c>
      <c r="B1457" s="4" t="n">
        <v>46061</v>
      </c>
      <c r="C1457" s="0" t="s">
        <v>553</v>
      </c>
      <c r="D1457" s="0" t="n">
        <v>3</v>
      </c>
      <c r="E1457" s="0" t="s">
        <v>3608</v>
      </c>
      <c r="F1457" s="3" t="n">
        <f aca="false">D1457*_xlfn.XLOOKUP(C1457,Item_Master!A:A,Item_Master!G:G)</f>
        <v>17250</v>
      </c>
      <c r="G1457" s="0" t="str">
        <f aca="false">TEXT(B1457,"MMM YYYY")</f>
        <v>Feb 2026</v>
      </c>
    </row>
    <row r="1458" customFormat="false" ht="15" hidden="false" customHeight="false" outlineLevel="0" collapsed="false">
      <c r="A1458" s="0" t="s">
        <v>3609</v>
      </c>
      <c r="B1458" s="4" t="n">
        <v>46061</v>
      </c>
      <c r="C1458" s="0" t="s">
        <v>601</v>
      </c>
      <c r="D1458" s="0" t="n">
        <v>14</v>
      </c>
      <c r="E1458" s="0" t="s">
        <v>3610</v>
      </c>
      <c r="F1458" s="3" t="n">
        <f aca="false">D1458*_xlfn.XLOOKUP(C1458,Item_Master!A:A,Item_Master!G:G)</f>
        <v>31360</v>
      </c>
      <c r="G1458" s="0" t="str">
        <f aca="false">TEXT(B1458,"MMM YYYY")</f>
        <v>Feb 2026</v>
      </c>
    </row>
    <row r="1459" customFormat="false" ht="15" hidden="false" customHeight="false" outlineLevel="0" collapsed="false">
      <c r="A1459" s="0" t="s">
        <v>3611</v>
      </c>
      <c r="B1459" s="4" t="n">
        <v>46061</v>
      </c>
      <c r="C1459" s="0" t="s">
        <v>645</v>
      </c>
      <c r="D1459" s="0" t="n">
        <v>10</v>
      </c>
      <c r="E1459" s="0" t="s">
        <v>3612</v>
      </c>
      <c r="F1459" s="3" t="n">
        <f aca="false">D1459*_xlfn.XLOOKUP(C1459,Item_Master!A:A,Item_Master!G:G)</f>
        <v>121100</v>
      </c>
      <c r="G1459" s="0" t="str">
        <f aca="false">TEXT(B1459,"MMM YYYY")</f>
        <v>Feb 2026</v>
      </c>
    </row>
    <row r="1460" customFormat="false" ht="15" hidden="false" customHeight="false" outlineLevel="0" collapsed="false">
      <c r="A1460" s="0" t="s">
        <v>3613</v>
      </c>
      <c r="B1460" s="4" t="n">
        <v>46061</v>
      </c>
      <c r="C1460" s="0" t="s">
        <v>663</v>
      </c>
      <c r="D1460" s="0" t="n">
        <v>27</v>
      </c>
      <c r="E1460" s="0" t="s">
        <v>3614</v>
      </c>
      <c r="F1460" s="3" t="n">
        <f aca="false">D1460*_xlfn.XLOOKUP(C1460,Item_Master!A:A,Item_Master!G:G)</f>
        <v>15660</v>
      </c>
      <c r="G1460" s="0" t="str">
        <f aca="false">TEXT(B1460,"MMM YYYY")</f>
        <v>Feb 2026</v>
      </c>
    </row>
    <row r="1461" customFormat="false" ht="15" hidden="false" customHeight="false" outlineLevel="0" collapsed="false">
      <c r="A1461" s="0" t="s">
        <v>3615</v>
      </c>
      <c r="B1461" s="4" t="n">
        <v>46061</v>
      </c>
      <c r="C1461" s="0" t="s">
        <v>667</v>
      </c>
      <c r="D1461" s="0" t="n">
        <v>32</v>
      </c>
      <c r="E1461" s="0" t="s">
        <v>3616</v>
      </c>
      <c r="F1461" s="3" t="n">
        <f aca="false">D1461*_xlfn.XLOOKUP(C1461,Item_Master!A:A,Item_Master!G:G)</f>
        <v>65600</v>
      </c>
      <c r="G1461" s="0" t="str">
        <f aca="false">TEXT(B1461,"MMM YYYY")</f>
        <v>Feb 2026</v>
      </c>
    </row>
    <row r="1462" customFormat="false" ht="15" hidden="false" customHeight="false" outlineLevel="0" collapsed="false">
      <c r="A1462" s="0" t="s">
        <v>3617</v>
      </c>
      <c r="B1462" s="4" t="n">
        <v>46061</v>
      </c>
      <c r="C1462" s="0" t="s">
        <v>673</v>
      </c>
      <c r="D1462" s="0" t="n">
        <v>26</v>
      </c>
      <c r="E1462" s="0" t="s">
        <v>3618</v>
      </c>
      <c r="F1462" s="3" t="n">
        <f aca="false">D1462*_xlfn.XLOOKUP(C1462,Item_Master!A:A,Item_Master!G:G)</f>
        <v>21840</v>
      </c>
      <c r="G1462" s="0" t="str">
        <f aca="false">TEXT(B1462,"MMM YYYY")</f>
        <v>Feb 2026</v>
      </c>
    </row>
    <row r="1463" customFormat="false" ht="15" hidden="false" customHeight="false" outlineLevel="0" collapsed="false">
      <c r="A1463" s="0" t="s">
        <v>3619</v>
      </c>
      <c r="B1463" s="4" t="n">
        <v>46062</v>
      </c>
      <c r="C1463" s="0" t="s">
        <v>247</v>
      </c>
      <c r="D1463" s="0" t="n">
        <v>34</v>
      </c>
      <c r="E1463" s="0" t="s">
        <v>3620</v>
      </c>
      <c r="F1463" s="3" t="n">
        <f aca="false">D1463*_xlfn.XLOOKUP(C1463,Item_Master!A:A,Item_Master!G:G)</f>
        <v>34000</v>
      </c>
      <c r="G1463" s="0" t="str">
        <f aca="false">TEXT(B1463,"MMM YYYY")</f>
        <v>Feb 2026</v>
      </c>
    </row>
    <row r="1464" customFormat="false" ht="15" hidden="false" customHeight="false" outlineLevel="0" collapsed="false">
      <c r="A1464" s="0" t="s">
        <v>3621</v>
      </c>
      <c r="B1464" s="4" t="n">
        <v>46062</v>
      </c>
      <c r="C1464" s="0" t="s">
        <v>281</v>
      </c>
      <c r="D1464" s="0" t="n">
        <v>6</v>
      </c>
      <c r="E1464" s="0" t="s">
        <v>3622</v>
      </c>
      <c r="F1464" s="3" t="n">
        <f aca="false">D1464*_xlfn.XLOOKUP(C1464,Item_Master!A:A,Item_Master!G:G)</f>
        <v>4620</v>
      </c>
      <c r="G1464" s="0" t="str">
        <f aca="false">TEXT(B1464,"MMM YYYY")</f>
        <v>Feb 2026</v>
      </c>
    </row>
    <row r="1465" customFormat="false" ht="15" hidden="false" customHeight="false" outlineLevel="0" collapsed="false">
      <c r="A1465" s="0" t="s">
        <v>3623</v>
      </c>
      <c r="B1465" s="4" t="n">
        <v>46062</v>
      </c>
      <c r="C1465" s="0" t="s">
        <v>319</v>
      </c>
      <c r="D1465" s="0" t="n">
        <v>1</v>
      </c>
      <c r="E1465" s="0" t="s">
        <v>3624</v>
      </c>
      <c r="F1465" s="3" t="n">
        <f aca="false">D1465*_xlfn.XLOOKUP(C1465,Item_Master!A:A,Item_Master!G:G)</f>
        <v>22710</v>
      </c>
      <c r="G1465" s="0" t="str">
        <f aca="false">TEXT(B1465,"MMM YYYY")</f>
        <v>Feb 2026</v>
      </c>
    </row>
    <row r="1466" customFormat="false" ht="15" hidden="false" customHeight="false" outlineLevel="0" collapsed="false">
      <c r="A1466" s="0" t="s">
        <v>3625</v>
      </c>
      <c r="B1466" s="4" t="n">
        <v>46062</v>
      </c>
      <c r="C1466" s="0" t="s">
        <v>341</v>
      </c>
      <c r="D1466" s="0" t="n">
        <v>3</v>
      </c>
      <c r="E1466" s="0" t="s">
        <v>3626</v>
      </c>
      <c r="F1466" s="3" t="n">
        <f aca="false">D1466*_xlfn.XLOOKUP(C1466,Item_Master!A:A,Item_Master!G:G)</f>
        <v>2100</v>
      </c>
      <c r="G1466" s="0" t="str">
        <f aca="false">TEXT(B1466,"MMM YYYY")</f>
        <v>Feb 2026</v>
      </c>
    </row>
    <row r="1467" customFormat="false" ht="15" hidden="false" customHeight="false" outlineLevel="0" collapsed="false">
      <c r="A1467" s="0" t="s">
        <v>3627</v>
      </c>
      <c r="B1467" s="4" t="n">
        <v>46062</v>
      </c>
      <c r="C1467" s="0" t="s">
        <v>452</v>
      </c>
      <c r="D1467" s="0" t="n">
        <v>10</v>
      </c>
      <c r="E1467" s="0" t="s">
        <v>3628</v>
      </c>
      <c r="F1467" s="3" t="n">
        <f aca="false">D1467*_xlfn.XLOOKUP(C1467,Item_Master!A:A,Item_Master!G:G)</f>
        <v>8600</v>
      </c>
      <c r="G1467" s="0" t="str">
        <f aca="false">TEXT(B1467,"MMM YYYY")</f>
        <v>Feb 2026</v>
      </c>
    </row>
    <row r="1468" customFormat="false" ht="15" hidden="false" customHeight="false" outlineLevel="0" collapsed="false">
      <c r="A1468" s="0" t="s">
        <v>3629</v>
      </c>
      <c r="B1468" s="4" t="n">
        <v>46062</v>
      </c>
      <c r="C1468" s="0" t="s">
        <v>494</v>
      </c>
      <c r="D1468" s="0" t="n">
        <v>29</v>
      </c>
      <c r="E1468" s="0" t="s">
        <v>3630</v>
      </c>
      <c r="F1468" s="3" t="n">
        <f aca="false">D1468*_xlfn.XLOOKUP(C1468,Item_Master!A:A,Item_Master!G:G)</f>
        <v>404260</v>
      </c>
      <c r="G1468" s="0" t="str">
        <f aca="false">TEXT(B1468,"MMM YYYY")</f>
        <v>Feb 2026</v>
      </c>
    </row>
    <row r="1469" customFormat="false" ht="15" hidden="false" customHeight="false" outlineLevel="0" collapsed="false">
      <c r="A1469" s="0" t="s">
        <v>3631</v>
      </c>
      <c r="B1469" s="4" t="n">
        <v>46062</v>
      </c>
      <c r="C1469" s="0" t="s">
        <v>557</v>
      </c>
      <c r="D1469" s="0" t="n">
        <v>2</v>
      </c>
      <c r="E1469" s="0" t="s">
        <v>3632</v>
      </c>
      <c r="F1469" s="3" t="n">
        <f aca="false">D1469*_xlfn.XLOOKUP(C1469,Item_Master!A:A,Item_Master!G:G)</f>
        <v>2160</v>
      </c>
      <c r="G1469" s="0" t="str">
        <f aca="false">TEXT(B1469,"MMM YYYY")</f>
        <v>Feb 2026</v>
      </c>
    </row>
    <row r="1470" customFormat="false" ht="15" hidden="false" customHeight="false" outlineLevel="0" collapsed="false">
      <c r="A1470" s="0" t="s">
        <v>3633</v>
      </c>
      <c r="B1470" s="4" t="n">
        <v>46062</v>
      </c>
      <c r="C1470" s="0" t="s">
        <v>582</v>
      </c>
      <c r="D1470" s="0" t="n">
        <v>36</v>
      </c>
      <c r="E1470" s="0" t="s">
        <v>3634</v>
      </c>
      <c r="F1470" s="3" t="n">
        <f aca="false">D1470*_xlfn.XLOOKUP(C1470,Item_Master!A:A,Item_Master!G:G)</f>
        <v>694440</v>
      </c>
      <c r="G1470" s="0" t="str">
        <f aca="false">TEXT(B1470,"MMM YYYY")</f>
        <v>Feb 2026</v>
      </c>
    </row>
    <row r="1471" customFormat="false" ht="15" hidden="false" customHeight="false" outlineLevel="0" collapsed="false">
      <c r="A1471" s="0" t="s">
        <v>3635</v>
      </c>
      <c r="B1471" s="4" t="n">
        <v>46062</v>
      </c>
      <c r="C1471" s="0" t="s">
        <v>608</v>
      </c>
      <c r="D1471" s="0" t="n">
        <v>7</v>
      </c>
      <c r="E1471" s="0" t="s">
        <v>3636</v>
      </c>
      <c r="F1471" s="3" t="n">
        <f aca="false">D1471*_xlfn.XLOOKUP(C1471,Item_Master!A:A,Item_Master!G:G)</f>
        <v>11130</v>
      </c>
      <c r="G1471" s="0" t="str">
        <f aca="false">TEXT(B1471,"MMM YYYY")</f>
        <v>Feb 2026</v>
      </c>
    </row>
    <row r="1472" customFormat="false" ht="15" hidden="false" customHeight="false" outlineLevel="0" collapsed="false">
      <c r="A1472" s="0" t="s">
        <v>3637</v>
      </c>
      <c r="B1472" s="4" t="n">
        <v>46062</v>
      </c>
      <c r="C1472" s="0" t="s">
        <v>679</v>
      </c>
      <c r="D1472" s="0" t="n">
        <v>23</v>
      </c>
      <c r="E1472" s="0" t="s">
        <v>3638</v>
      </c>
      <c r="F1472" s="3" t="n">
        <f aca="false">D1472*_xlfn.XLOOKUP(C1472,Item_Master!A:A,Item_Master!G:G)</f>
        <v>63250</v>
      </c>
      <c r="G1472" s="0" t="str">
        <f aca="false">TEXT(B1472,"MMM YYYY")</f>
        <v>Feb 2026</v>
      </c>
    </row>
    <row r="1473" customFormat="false" ht="15" hidden="false" customHeight="false" outlineLevel="0" collapsed="false">
      <c r="A1473" s="0" t="s">
        <v>3639</v>
      </c>
      <c r="B1473" s="4" t="n">
        <v>46062</v>
      </c>
      <c r="C1473" s="0" t="s">
        <v>681</v>
      </c>
      <c r="D1473" s="0" t="n">
        <v>1</v>
      </c>
      <c r="E1473" s="0" t="s">
        <v>3640</v>
      </c>
      <c r="F1473" s="3" t="n">
        <f aca="false">D1473*_xlfn.XLOOKUP(C1473,Item_Master!A:A,Item_Master!G:G)</f>
        <v>1230</v>
      </c>
      <c r="G1473" s="0" t="str">
        <f aca="false">TEXT(B1473,"MMM YYYY")</f>
        <v>Feb 2026</v>
      </c>
    </row>
    <row r="1474" customFormat="false" ht="15" hidden="false" customHeight="false" outlineLevel="0" collapsed="false">
      <c r="A1474" s="0" t="s">
        <v>3641</v>
      </c>
      <c r="B1474" s="4" t="n">
        <v>46063</v>
      </c>
      <c r="C1474" s="0" t="s">
        <v>8</v>
      </c>
      <c r="D1474" s="0" t="n">
        <v>35</v>
      </c>
      <c r="E1474" s="0" t="s">
        <v>3642</v>
      </c>
      <c r="F1474" s="3" t="n">
        <f aca="false">D1474*_xlfn.XLOOKUP(C1474,Item_Master!A:A,Item_Master!G:G)</f>
        <v>75600</v>
      </c>
      <c r="G1474" s="0" t="str">
        <f aca="false">TEXT(B1474,"MMM YYYY")</f>
        <v>Feb 2026</v>
      </c>
    </row>
    <row r="1475" customFormat="false" ht="15" hidden="false" customHeight="false" outlineLevel="0" collapsed="false">
      <c r="A1475" s="0" t="s">
        <v>3643</v>
      </c>
      <c r="B1475" s="4" t="n">
        <v>46063</v>
      </c>
      <c r="C1475" s="0" t="s">
        <v>58</v>
      </c>
      <c r="D1475" s="0" t="n">
        <v>5</v>
      </c>
      <c r="E1475" s="0" t="s">
        <v>3644</v>
      </c>
      <c r="F1475" s="3" t="n">
        <f aca="false">D1475*_xlfn.XLOOKUP(C1475,Item_Master!A:A,Item_Master!G:G)</f>
        <v>5050</v>
      </c>
      <c r="G1475" s="0" t="str">
        <f aca="false">TEXT(B1475,"MMM YYYY")</f>
        <v>Feb 2026</v>
      </c>
    </row>
    <row r="1476" customFormat="false" ht="15" hidden="false" customHeight="false" outlineLevel="0" collapsed="false">
      <c r="A1476" s="0" t="s">
        <v>3645</v>
      </c>
      <c r="B1476" s="4" t="n">
        <v>46063</v>
      </c>
      <c r="C1476" s="0" t="s">
        <v>71</v>
      </c>
      <c r="D1476" s="0" t="n">
        <v>28</v>
      </c>
      <c r="E1476" s="0" t="s">
        <v>3646</v>
      </c>
      <c r="F1476" s="3" t="n">
        <f aca="false">D1476*_xlfn.XLOOKUP(C1476,Item_Master!A:A,Item_Master!G:G)</f>
        <v>13160</v>
      </c>
      <c r="G1476" s="0" t="str">
        <f aca="false">TEXT(B1476,"MMM YYYY")</f>
        <v>Feb 2026</v>
      </c>
    </row>
    <row r="1477" customFormat="false" ht="15" hidden="false" customHeight="false" outlineLevel="0" collapsed="false">
      <c r="A1477" s="0" t="s">
        <v>3647</v>
      </c>
      <c r="B1477" s="4" t="n">
        <v>46063</v>
      </c>
      <c r="C1477" s="0" t="s">
        <v>83</v>
      </c>
      <c r="D1477" s="0" t="n">
        <v>21</v>
      </c>
      <c r="E1477" s="0" t="s">
        <v>3648</v>
      </c>
      <c r="F1477" s="3" t="n">
        <f aca="false">D1477*_xlfn.XLOOKUP(C1477,Item_Master!A:A,Item_Master!G:G)</f>
        <v>117390</v>
      </c>
      <c r="G1477" s="0" t="str">
        <f aca="false">TEXT(B1477,"MMM YYYY")</f>
        <v>Feb 2026</v>
      </c>
    </row>
    <row r="1478" customFormat="false" ht="15" hidden="false" customHeight="false" outlineLevel="0" collapsed="false">
      <c r="A1478" s="0" t="s">
        <v>3649</v>
      </c>
      <c r="B1478" s="4" t="n">
        <v>46063</v>
      </c>
      <c r="C1478" s="0" t="s">
        <v>160</v>
      </c>
      <c r="D1478" s="0" t="n">
        <v>19</v>
      </c>
      <c r="E1478" s="0" t="s">
        <v>3650</v>
      </c>
      <c r="F1478" s="3" t="n">
        <f aca="false">D1478*_xlfn.XLOOKUP(C1478,Item_Master!A:A,Item_Master!G:G)</f>
        <v>14630</v>
      </c>
      <c r="G1478" s="0" t="str">
        <f aca="false">TEXT(B1478,"MMM YYYY")</f>
        <v>Feb 2026</v>
      </c>
    </row>
    <row r="1479" customFormat="false" ht="15" hidden="false" customHeight="false" outlineLevel="0" collapsed="false">
      <c r="A1479" s="0" t="s">
        <v>3651</v>
      </c>
      <c r="B1479" s="4" t="n">
        <v>46063</v>
      </c>
      <c r="C1479" s="0" t="s">
        <v>191</v>
      </c>
      <c r="D1479" s="0" t="n">
        <v>3</v>
      </c>
      <c r="E1479" s="0" t="s">
        <v>3652</v>
      </c>
      <c r="F1479" s="3" t="n">
        <f aca="false">D1479*_xlfn.XLOOKUP(C1479,Item_Master!A:A,Item_Master!G:G)</f>
        <v>34440</v>
      </c>
      <c r="G1479" s="0" t="str">
        <f aca="false">TEXT(B1479,"MMM YYYY")</f>
        <v>Feb 2026</v>
      </c>
    </row>
    <row r="1480" customFormat="false" ht="15" hidden="false" customHeight="false" outlineLevel="0" collapsed="false">
      <c r="A1480" s="0" t="s">
        <v>3653</v>
      </c>
      <c r="B1480" s="4" t="n">
        <v>46063</v>
      </c>
      <c r="C1480" s="0" t="s">
        <v>357</v>
      </c>
      <c r="D1480" s="0" t="n">
        <v>27</v>
      </c>
      <c r="E1480" s="0" t="s">
        <v>3654</v>
      </c>
      <c r="F1480" s="3" t="n">
        <f aca="false">D1480*_xlfn.XLOOKUP(C1480,Item_Master!A:A,Item_Master!G:G)</f>
        <v>296190</v>
      </c>
      <c r="G1480" s="0" t="str">
        <f aca="false">TEXT(B1480,"MMM YYYY")</f>
        <v>Feb 2026</v>
      </c>
    </row>
    <row r="1481" customFormat="false" ht="15" hidden="false" customHeight="false" outlineLevel="0" collapsed="false">
      <c r="A1481" s="0" t="s">
        <v>3655</v>
      </c>
      <c r="B1481" s="4" t="n">
        <v>46063</v>
      </c>
      <c r="C1481" s="0" t="s">
        <v>366</v>
      </c>
      <c r="D1481" s="0" t="n">
        <v>18</v>
      </c>
      <c r="E1481" s="0" t="s">
        <v>1340</v>
      </c>
      <c r="F1481" s="3" t="n">
        <f aca="false">D1481*_xlfn.XLOOKUP(C1481,Item_Master!A:A,Item_Master!G:G)</f>
        <v>49140</v>
      </c>
      <c r="G1481" s="0" t="str">
        <f aca="false">TEXT(B1481,"MMM YYYY")</f>
        <v>Feb 2026</v>
      </c>
    </row>
    <row r="1482" customFormat="false" ht="15" hidden="false" customHeight="false" outlineLevel="0" collapsed="false">
      <c r="A1482" s="0" t="s">
        <v>3656</v>
      </c>
      <c r="B1482" s="4" t="n">
        <v>46063</v>
      </c>
      <c r="C1482" s="0" t="s">
        <v>374</v>
      </c>
      <c r="D1482" s="0" t="n">
        <v>7</v>
      </c>
      <c r="E1482" s="0" t="s">
        <v>3657</v>
      </c>
      <c r="F1482" s="3" t="n">
        <f aca="false">D1482*_xlfn.XLOOKUP(C1482,Item_Master!A:A,Item_Master!G:G)</f>
        <v>13370</v>
      </c>
      <c r="G1482" s="0" t="str">
        <f aca="false">TEXT(B1482,"MMM YYYY")</f>
        <v>Feb 2026</v>
      </c>
    </row>
    <row r="1483" customFormat="false" ht="15" hidden="false" customHeight="false" outlineLevel="0" collapsed="false">
      <c r="A1483" s="0" t="s">
        <v>3658</v>
      </c>
      <c r="B1483" s="4" t="n">
        <v>46063</v>
      </c>
      <c r="C1483" s="0" t="s">
        <v>380</v>
      </c>
      <c r="D1483" s="0" t="n">
        <v>11</v>
      </c>
      <c r="E1483" s="0" t="s">
        <v>3659</v>
      </c>
      <c r="F1483" s="3" t="n">
        <f aca="false">D1483*_xlfn.XLOOKUP(C1483,Item_Master!A:A,Item_Master!G:G)</f>
        <v>34870</v>
      </c>
      <c r="G1483" s="0" t="str">
        <f aca="false">TEXT(B1483,"MMM YYYY")</f>
        <v>Feb 2026</v>
      </c>
    </row>
    <row r="1484" customFormat="false" ht="15" hidden="false" customHeight="false" outlineLevel="0" collapsed="false">
      <c r="A1484" s="0" t="s">
        <v>3660</v>
      </c>
      <c r="B1484" s="4" t="n">
        <v>46063</v>
      </c>
      <c r="C1484" s="0" t="s">
        <v>549</v>
      </c>
      <c r="D1484" s="0" t="n">
        <v>35</v>
      </c>
      <c r="E1484" s="0" t="s">
        <v>3661</v>
      </c>
      <c r="F1484" s="3" t="n">
        <f aca="false">D1484*_xlfn.XLOOKUP(C1484,Item_Master!A:A,Item_Master!G:G)</f>
        <v>397250</v>
      </c>
      <c r="G1484" s="0" t="str">
        <f aca="false">TEXT(B1484,"MMM YYYY")</f>
        <v>Feb 2026</v>
      </c>
    </row>
    <row r="1485" customFormat="false" ht="15" hidden="false" customHeight="false" outlineLevel="0" collapsed="false">
      <c r="A1485" s="0" t="s">
        <v>3662</v>
      </c>
      <c r="B1485" s="4" t="n">
        <v>46063</v>
      </c>
      <c r="C1485" s="0" t="s">
        <v>614</v>
      </c>
      <c r="D1485" s="0" t="n">
        <v>9</v>
      </c>
      <c r="E1485" s="0" t="s">
        <v>3663</v>
      </c>
      <c r="F1485" s="3" t="n">
        <f aca="false">D1485*_xlfn.XLOOKUP(C1485,Item_Master!A:A,Item_Master!G:G)</f>
        <v>17820</v>
      </c>
      <c r="G1485" s="0" t="str">
        <f aca="false">TEXT(B1485,"MMM YYYY")</f>
        <v>Feb 2026</v>
      </c>
    </row>
    <row r="1486" customFormat="false" ht="15" hidden="false" customHeight="false" outlineLevel="0" collapsed="false">
      <c r="A1486" s="0" t="s">
        <v>3664</v>
      </c>
      <c r="B1486" s="4" t="n">
        <v>46063</v>
      </c>
      <c r="C1486" s="0" t="s">
        <v>636</v>
      </c>
      <c r="D1486" s="0" t="n">
        <v>22</v>
      </c>
      <c r="E1486" s="0" t="s">
        <v>3665</v>
      </c>
      <c r="F1486" s="3" t="n">
        <f aca="false">D1486*_xlfn.XLOOKUP(C1486,Item_Master!A:A,Item_Master!G:G)</f>
        <v>28600</v>
      </c>
      <c r="G1486" s="0" t="str">
        <f aca="false">TEXT(B1486,"MMM YYYY")</f>
        <v>Feb 2026</v>
      </c>
    </row>
    <row r="1487" customFormat="false" ht="15" hidden="false" customHeight="false" outlineLevel="0" collapsed="false">
      <c r="A1487" s="0" t="s">
        <v>3666</v>
      </c>
      <c r="B1487" s="4" t="n">
        <v>46064</v>
      </c>
      <c r="C1487" s="0" t="s">
        <v>273</v>
      </c>
      <c r="D1487" s="0" t="n">
        <v>10</v>
      </c>
      <c r="E1487" s="0" t="s">
        <v>3667</v>
      </c>
      <c r="F1487" s="3" t="n">
        <f aca="false">D1487*_xlfn.XLOOKUP(C1487,Item_Master!A:A,Item_Master!G:G)</f>
        <v>22400</v>
      </c>
      <c r="G1487" s="0" t="str">
        <f aca="false">TEXT(B1487,"MMM YYYY")</f>
        <v>Feb 2026</v>
      </c>
    </row>
    <row r="1488" customFormat="false" ht="15" hidden="false" customHeight="false" outlineLevel="0" collapsed="false">
      <c r="A1488" s="0" t="s">
        <v>3668</v>
      </c>
      <c r="B1488" s="4" t="n">
        <v>46064</v>
      </c>
      <c r="C1488" s="0" t="s">
        <v>374</v>
      </c>
      <c r="D1488" s="0" t="n">
        <v>26</v>
      </c>
      <c r="E1488" s="0" t="s">
        <v>3669</v>
      </c>
      <c r="F1488" s="3" t="n">
        <f aca="false">D1488*_xlfn.XLOOKUP(C1488,Item_Master!A:A,Item_Master!G:G)</f>
        <v>49660</v>
      </c>
      <c r="G1488" s="0" t="str">
        <f aca="false">TEXT(B1488,"MMM YYYY")</f>
        <v>Feb 2026</v>
      </c>
    </row>
    <row r="1489" customFormat="false" ht="15" hidden="false" customHeight="false" outlineLevel="0" collapsed="false">
      <c r="A1489" s="0" t="s">
        <v>3670</v>
      </c>
      <c r="B1489" s="4" t="n">
        <v>46064</v>
      </c>
      <c r="C1489" s="0" t="s">
        <v>378</v>
      </c>
      <c r="D1489" s="0" t="n">
        <v>19</v>
      </c>
      <c r="E1489" s="0" t="s">
        <v>3671</v>
      </c>
      <c r="F1489" s="3" t="n">
        <f aca="false">D1489*_xlfn.XLOOKUP(C1489,Item_Master!A:A,Item_Master!G:G)</f>
        <v>34580</v>
      </c>
      <c r="G1489" s="0" t="str">
        <f aca="false">TEXT(B1489,"MMM YYYY")</f>
        <v>Feb 2026</v>
      </c>
    </row>
    <row r="1490" customFormat="false" ht="15" hidden="false" customHeight="false" outlineLevel="0" collapsed="false">
      <c r="A1490" s="0" t="s">
        <v>3672</v>
      </c>
      <c r="B1490" s="4" t="n">
        <v>46064</v>
      </c>
      <c r="C1490" s="0" t="s">
        <v>413</v>
      </c>
      <c r="D1490" s="0" t="n">
        <v>24</v>
      </c>
      <c r="E1490" s="0" t="s">
        <v>3673</v>
      </c>
      <c r="F1490" s="3" t="n">
        <f aca="false">D1490*_xlfn.XLOOKUP(C1490,Item_Master!A:A,Item_Master!G:G)</f>
        <v>28560</v>
      </c>
      <c r="G1490" s="0" t="str">
        <f aca="false">TEXT(B1490,"MMM YYYY")</f>
        <v>Feb 2026</v>
      </c>
    </row>
    <row r="1491" customFormat="false" ht="15" hidden="false" customHeight="false" outlineLevel="0" collapsed="false">
      <c r="A1491" s="0" t="s">
        <v>3674</v>
      </c>
      <c r="B1491" s="4" t="n">
        <v>46064</v>
      </c>
      <c r="C1491" s="0" t="s">
        <v>533</v>
      </c>
      <c r="D1491" s="0" t="n">
        <v>4</v>
      </c>
      <c r="E1491" s="0" t="s">
        <v>3675</v>
      </c>
      <c r="F1491" s="3" t="n">
        <f aca="false">D1491*_xlfn.XLOOKUP(C1491,Item_Master!A:A,Item_Master!G:G)</f>
        <v>6880</v>
      </c>
      <c r="G1491" s="0" t="str">
        <f aca="false">TEXT(B1491,"MMM YYYY")</f>
        <v>Feb 2026</v>
      </c>
    </row>
    <row r="1492" customFormat="false" ht="15" hidden="false" customHeight="false" outlineLevel="0" collapsed="false">
      <c r="A1492" s="0" t="s">
        <v>3676</v>
      </c>
      <c r="B1492" s="4" t="n">
        <v>46064</v>
      </c>
      <c r="C1492" s="0" t="s">
        <v>632</v>
      </c>
      <c r="D1492" s="0" t="n">
        <v>2</v>
      </c>
      <c r="E1492" s="0" t="s">
        <v>753</v>
      </c>
      <c r="F1492" s="3" t="n">
        <f aca="false">D1492*_xlfn.XLOOKUP(C1492,Item_Master!A:A,Item_Master!G:G)</f>
        <v>12900</v>
      </c>
      <c r="G1492" s="0" t="str">
        <f aca="false">TEXT(B1492,"MMM YYYY")</f>
        <v>Feb 2026</v>
      </c>
    </row>
    <row r="1493" customFormat="false" ht="15" hidden="false" customHeight="false" outlineLevel="0" collapsed="false">
      <c r="A1493" s="0" t="s">
        <v>3677</v>
      </c>
      <c r="B1493" s="4" t="n">
        <v>46064</v>
      </c>
      <c r="C1493" s="0" t="s">
        <v>632</v>
      </c>
      <c r="D1493" s="0" t="n">
        <v>5</v>
      </c>
      <c r="E1493" s="0" t="s">
        <v>3678</v>
      </c>
      <c r="F1493" s="3" t="n">
        <f aca="false">D1493*_xlfn.XLOOKUP(C1493,Item_Master!A:A,Item_Master!G:G)</f>
        <v>32250</v>
      </c>
      <c r="G1493" s="0" t="str">
        <f aca="false">TEXT(B1493,"MMM YYYY")</f>
        <v>Feb 2026</v>
      </c>
    </row>
    <row r="1494" customFormat="false" ht="15" hidden="false" customHeight="false" outlineLevel="0" collapsed="false">
      <c r="A1494" s="0" t="s">
        <v>3679</v>
      </c>
      <c r="B1494" s="4" t="n">
        <v>46064</v>
      </c>
      <c r="C1494" s="0" t="s">
        <v>656</v>
      </c>
      <c r="D1494" s="0" t="n">
        <v>10</v>
      </c>
      <c r="E1494" s="0" t="s">
        <v>3680</v>
      </c>
      <c r="F1494" s="3" t="n">
        <f aca="false">D1494*_xlfn.XLOOKUP(C1494,Item_Master!A:A,Item_Master!G:G)</f>
        <v>13700</v>
      </c>
      <c r="G1494" s="0" t="str">
        <f aca="false">TEXT(B1494,"MMM YYYY")</f>
        <v>Feb 2026</v>
      </c>
    </row>
    <row r="1495" customFormat="false" ht="15" hidden="false" customHeight="false" outlineLevel="0" collapsed="false">
      <c r="A1495" s="0" t="s">
        <v>3681</v>
      </c>
      <c r="B1495" s="4" t="n">
        <v>46064</v>
      </c>
      <c r="C1495" s="0" t="s">
        <v>667</v>
      </c>
      <c r="D1495" s="0" t="n">
        <v>18</v>
      </c>
      <c r="E1495" s="0" t="s">
        <v>3682</v>
      </c>
      <c r="F1495" s="3" t="n">
        <f aca="false">D1495*_xlfn.XLOOKUP(C1495,Item_Master!A:A,Item_Master!G:G)</f>
        <v>36900</v>
      </c>
      <c r="G1495" s="0" t="str">
        <f aca="false">TEXT(B1495,"MMM YYYY")</f>
        <v>Feb 2026</v>
      </c>
    </row>
    <row r="1496" customFormat="false" ht="15" hidden="false" customHeight="false" outlineLevel="0" collapsed="false">
      <c r="A1496" s="0" t="s">
        <v>3683</v>
      </c>
      <c r="B1496" s="4" t="n">
        <v>46065</v>
      </c>
      <c r="C1496" s="0" t="s">
        <v>35</v>
      </c>
      <c r="D1496" s="0" t="n">
        <v>1</v>
      </c>
      <c r="E1496" s="0" t="s">
        <v>3684</v>
      </c>
      <c r="F1496" s="3" t="n">
        <f aca="false">D1496*_xlfn.XLOOKUP(C1496,Item_Master!A:A,Item_Master!G:G)</f>
        <v>1920</v>
      </c>
      <c r="G1496" s="0" t="str">
        <f aca="false">TEXT(B1496,"MMM YYYY")</f>
        <v>Feb 2026</v>
      </c>
    </row>
    <row r="1497" customFormat="false" ht="15" hidden="false" customHeight="false" outlineLevel="0" collapsed="false">
      <c r="A1497" s="0" t="s">
        <v>3685</v>
      </c>
      <c r="B1497" s="4" t="n">
        <v>46065</v>
      </c>
      <c r="C1497" s="0" t="s">
        <v>64</v>
      </c>
      <c r="D1497" s="0" t="n">
        <v>17</v>
      </c>
      <c r="E1497" s="0" t="s">
        <v>3686</v>
      </c>
      <c r="F1497" s="3" t="n">
        <f aca="false">D1497*_xlfn.XLOOKUP(C1497,Item_Master!A:A,Item_Master!G:G)</f>
        <v>26180</v>
      </c>
      <c r="G1497" s="0" t="str">
        <f aca="false">TEXT(B1497,"MMM YYYY")</f>
        <v>Feb 2026</v>
      </c>
    </row>
    <row r="1498" customFormat="false" ht="15" hidden="false" customHeight="false" outlineLevel="0" collapsed="false">
      <c r="A1498" s="0" t="s">
        <v>3687</v>
      </c>
      <c r="B1498" s="4" t="n">
        <v>46065</v>
      </c>
      <c r="C1498" s="0" t="s">
        <v>136</v>
      </c>
      <c r="D1498" s="0" t="n">
        <v>16</v>
      </c>
      <c r="E1498" s="0" t="s">
        <v>3688</v>
      </c>
      <c r="F1498" s="3" t="n">
        <f aca="false">D1498*_xlfn.XLOOKUP(C1498,Item_Master!A:A,Item_Master!G:G)</f>
        <v>23840</v>
      </c>
      <c r="G1498" s="0" t="str">
        <f aca="false">TEXT(B1498,"MMM YYYY")</f>
        <v>Feb 2026</v>
      </c>
    </row>
    <row r="1499" customFormat="false" ht="15" hidden="false" customHeight="false" outlineLevel="0" collapsed="false">
      <c r="A1499" s="0" t="s">
        <v>3689</v>
      </c>
      <c r="B1499" s="4" t="n">
        <v>46065</v>
      </c>
      <c r="C1499" s="0" t="s">
        <v>146</v>
      </c>
      <c r="D1499" s="0" t="n">
        <v>31</v>
      </c>
      <c r="E1499" s="0" t="s">
        <v>3690</v>
      </c>
      <c r="F1499" s="3" t="n">
        <f aca="false">D1499*_xlfn.XLOOKUP(C1499,Item_Master!A:A,Item_Master!G:G)</f>
        <v>85560</v>
      </c>
      <c r="G1499" s="0" t="str">
        <f aca="false">TEXT(B1499,"MMM YYYY")</f>
        <v>Feb 2026</v>
      </c>
    </row>
    <row r="1500" customFormat="false" ht="15" hidden="false" customHeight="false" outlineLevel="0" collapsed="false">
      <c r="A1500" s="0" t="s">
        <v>3691</v>
      </c>
      <c r="B1500" s="4" t="n">
        <v>46065</v>
      </c>
      <c r="C1500" s="0" t="s">
        <v>151</v>
      </c>
      <c r="D1500" s="0" t="n">
        <v>17</v>
      </c>
      <c r="E1500" s="0" t="s">
        <v>3692</v>
      </c>
      <c r="F1500" s="3" t="n">
        <f aca="false">D1500*_xlfn.XLOOKUP(C1500,Item_Master!A:A,Item_Master!G:G)</f>
        <v>43520</v>
      </c>
      <c r="G1500" s="0" t="str">
        <f aca="false">TEXT(B1500,"MMM YYYY")</f>
        <v>Feb 2026</v>
      </c>
    </row>
    <row r="1501" customFormat="false" ht="15" hidden="false" customHeight="false" outlineLevel="0" collapsed="false">
      <c r="A1501" s="0" t="s">
        <v>3693</v>
      </c>
      <c r="B1501" s="4" t="n">
        <v>46065</v>
      </c>
      <c r="C1501" s="0" t="s">
        <v>178</v>
      </c>
      <c r="D1501" s="0" t="n">
        <v>11</v>
      </c>
      <c r="E1501" s="0" t="s">
        <v>3694</v>
      </c>
      <c r="F1501" s="3" t="n">
        <f aca="false">D1501*_xlfn.XLOOKUP(C1501,Item_Master!A:A,Item_Master!G:G)</f>
        <v>14410</v>
      </c>
      <c r="G1501" s="0" t="str">
        <f aca="false">TEXT(B1501,"MMM YYYY")</f>
        <v>Feb 2026</v>
      </c>
    </row>
    <row r="1502" customFormat="false" ht="15" hidden="false" customHeight="false" outlineLevel="0" collapsed="false">
      <c r="A1502" s="0" t="s">
        <v>3695</v>
      </c>
      <c r="B1502" s="4" t="n">
        <v>46065</v>
      </c>
      <c r="C1502" s="0" t="s">
        <v>260</v>
      </c>
      <c r="D1502" s="0" t="n">
        <v>16</v>
      </c>
      <c r="E1502" s="0" t="s">
        <v>3696</v>
      </c>
      <c r="F1502" s="3" t="n">
        <f aca="false">D1502*_xlfn.XLOOKUP(C1502,Item_Master!A:A,Item_Master!G:G)</f>
        <v>268480</v>
      </c>
      <c r="G1502" s="0" t="str">
        <f aca="false">TEXT(B1502,"MMM YYYY")</f>
        <v>Feb 2026</v>
      </c>
    </row>
    <row r="1503" customFormat="false" ht="15" hidden="false" customHeight="false" outlineLevel="0" collapsed="false">
      <c r="A1503" s="0" t="s">
        <v>3697</v>
      </c>
      <c r="B1503" s="4" t="n">
        <v>46065</v>
      </c>
      <c r="C1503" s="0" t="s">
        <v>382</v>
      </c>
      <c r="D1503" s="0" t="n">
        <v>2</v>
      </c>
      <c r="E1503" s="0" t="s">
        <v>3698</v>
      </c>
      <c r="F1503" s="3" t="n">
        <f aca="false">D1503*_xlfn.XLOOKUP(C1503,Item_Master!A:A,Item_Master!G:G)</f>
        <v>4120</v>
      </c>
      <c r="G1503" s="0" t="str">
        <f aca="false">TEXT(B1503,"MMM YYYY")</f>
        <v>Feb 2026</v>
      </c>
    </row>
    <row r="1504" customFormat="false" ht="15" hidden="false" customHeight="false" outlineLevel="0" collapsed="false">
      <c r="A1504" s="0" t="s">
        <v>3699</v>
      </c>
      <c r="B1504" s="4" t="n">
        <v>46065</v>
      </c>
      <c r="C1504" s="0" t="s">
        <v>428</v>
      </c>
      <c r="D1504" s="0" t="n">
        <v>13</v>
      </c>
      <c r="E1504" s="0" t="s">
        <v>3700</v>
      </c>
      <c r="F1504" s="3" t="n">
        <f aca="false">D1504*_xlfn.XLOOKUP(C1504,Item_Master!A:A,Item_Master!G:G)</f>
        <v>14560</v>
      </c>
      <c r="G1504" s="0" t="str">
        <f aca="false">TEXT(B1504,"MMM YYYY")</f>
        <v>Feb 2026</v>
      </c>
    </row>
    <row r="1505" customFormat="false" ht="15" hidden="false" customHeight="false" outlineLevel="0" collapsed="false">
      <c r="A1505" s="0" t="s">
        <v>3701</v>
      </c>
      <c r="B1505" s="4" t="n">
        <v>46065</v>
      </c>
      <c r="C1505" s="0" t="s">
        <v>530</v>
      </c>
      <c r="D1505" s="0" t="n">
        <v>23</v>
      </c>
      <c r="E1505" s="0" t="s">
        <v>3702</v>
      </c>
      <c r="F1505" s="3" t="n">
        <f aca="false">D1505*_xlfn.XLOOKUP(C1505,Item_Master!A:A,Item_Master!G:G)</f>
        <v>268870</v>
      </c>
      <c r="G1505" s="0" t="str">
        <f aca="false">TEXT(B1505,"MMM YYYY")</f>
        <v>Feb 2026</v>
      </c>
    </row>
    <row r="1506" customFormat="false" ht="15" hidden="false" customHeight="false" outlineLevel="0" collapsed="false">
      <c r="A1506" s="0" t="s">
        <v>3703</v>
      </c>
      <c r="B1506" s="4" t="n">
        <v>46065</v>
      </c>
      <c r="C1506" s="0" t="s">
        <v>604</v>
      </c>
      <c r="D1506" s="0" t="n">
        <v>9</v>
      </c>
      <c r="E1506" s="0" t="s">
        <v>3704</v>
      </c>
      <c r="F1506" s="3" t="n">
        <f aca="false">D1506*_xlfn.XLOOKUP(C1506,Item_Master!A:A,Item_Master!G:G)</f>
        <v>13500</v>
      </c>
      <c r="G1506" s="0" t="str">
        <f aca="false">TEXT(B1506,"MMM YYYY")</f>
        <v>Feb 2026</v>
      </c>
    </row>
    <row r="1507" customFormat="false" ht="15" hidden="false" customHeight="false" outlineLevel="0" collapsed="false">
      <c r="A1507" s="0" t="s">
        <v>3705</v>
      </c>
      <c r="B1507" s="4" t="n">
        <v>46065</v>
      </c>
      <c r="C1507" s="0" t="s">
        <v>620</v>
      </c>
      <c r="D1507" s="0" t="n">
        <v>11</v>
      </c>
      <c r="E1507" s="0" t="s">
        <v>3706</v>
      </c>
      <c r="F1507" s="3" t="n">
        <f aca="false">D1507*_xlfn.XLOOKUP(C1507,Item_Master!A:A,Item_Master!G:G)</f>
        <v>13530</v>
      </c>
      <c r="G1507" s="0" t="str">
        <f aca="false">TEXT(B1507,"MMM YYYY")</f>
        <v>Feb 2026</v>
      </c>
    </row>
    <row r="1508" customFormat="false" ht="15" hidden="false" customHeight="false" outlineLevel="0" collapsed="false">
      <c r="A1508" s="0" t="s">
        <v>3707</v>
      </c>
      <c r="B1508" s="4" t="n">
        <v>46065</v>
      </c>
      <c r="C1508" s="0" t="s">
        <v>639</v>
      </c>
      <c r="D1508" s="0" t="n">
        <v>38</v>
      </c>
      <c r="E1508" s="0" t="s">
        <v>3708</v>
      </c>
      <c r="F1508" s="3" t="n">
        <f aca="false">D1508*_xlfn.XLOOKUP(C1508,Item_Master!A:A,Item_Master!G:G)</f>
        <v>22420</v>
      </c>
      <c r="G1508" s="0" t="str">
        <f aca="false">TEXT(B1508,"MMM YYYY")</f>
        <v>Feb 2026</v>
      </c>
    </row>
    <row r="1509" customFormat="false" ht="15" hidden="false" customHeight="false" outlineLevel="0" collapsed="false">
      <c r="A1509" s="0" t="s">
        <v>3709</v>
      </c>
      <c r="B1509" s="4" t="n">
        <v>46065</v>
      </c>
      <c r="C1509" s="0" t="s">
        <v>674</v>
      </c>
      <c r="D1509" s="0" t="n">
        <v>1</v>
      </c>
      <c r="E1509" s="0" t="s">
        <v>3710</v>
      </c>
      <c r="F1509" s="3" t="n">
        <f aca="false">D1509*_xlfn.XLOOKUP(C1509,Item_Master!A:A,Item_Master!G:G)</f>
        <v>710</v>
      </c>
      <c r="G1509" s="0" t="str">
        <f aca="false">TEXT(B1509,"MMM YYYY")</f>
        <v>Feb 2026</v>
      </c>
    </row>
    <row r="1510" customFormat="false" ht="15" hidden="false" customHeight="false" outlineLevel="0" collapsed="false">
      <c r="A1510" s="0" t="s">
        <v>3711</v>
      </c>
      <c r="B1510" s="4" t="n">
        <v>46066</v>
      </c>
      <c r="C1510" s="0" t="s">
        <v>75</v>
      </c>
      <c r="D1510" s="0" t="n">
        <v>2</v>
      </c>
      <c r="E1510" s="0" t="s">
        <v>3712</v>
      </c>
      <c r="F1510" s="3" t="n">
        <f aca="false">D1510*_xlfn.XLOOKUP(C1510,Item_Master!A:A,Item_Master!G:G)</f>
        <v>4680</v>
      </c>
      <c r="G1510" s="0" t="str">
        <f aca="false">TEXT(B1510,"MMM YYYY")</f>
        <v>Feb 2026</v>
      </c>
    </row>
    <row r="1511" customFormat="false" ht="15" hidden="false" customHeight="false" outlineLevel="0" collapsed="false">
      <c r="A1511" s="0" t="s">
        <v>3713</v>
      </c>
      <c r="B1511" s="4" t="n">
        <v>46066</v>
      </c>
      <c r="C1511" s="0" t="s">
        <v>237</v>
      </c>
      <c r="D1511" s="0" t="n">
        <v>1</v>
      </c>
      <c r="E1511" s="0" t="s">
        <v>3714</v>
      </c>
      <c r="F1511" s="3" t="n">
        <f aca="false">D1511*_xlfn.XLOOKUP(C1511,Item_Master!A:A,Item_Master!G:G)</f>
        <v>720</v>
      </c>
      <c r="G1511" s="0" t="str">
        <f aca="false">TEXT(B1511,"MMM YYYY")</f>
        <v>Feb 2026</v>
      </c>
    </row>
    <row r="1512" customFormat="false" ht="15" hidden="false" customHeight="false" outlineLevel="0" collapsed="false">
      <c r="A1512" s="0" t="s">
        <v>3715</v>
      </c>
      <c r="B1512" s="4" t="n">
        <v>46066</v>
      </c>
      <c r="C1512" s="0" t="s">
        <v>262</v>
      </c>
      <c r="D1512" s="0" t="n">
        <v>27</v>
      </c>
      <c r="E1512" s="0" t="s">
        <v>3716</v>
      </c>
      <c r="F1512" s="3" t="n">
        <f aca="false">D1512*_xlfn.XLOOKUP(C1512,Item_Master!A:A,Item_Master!G:G)</f>
        <v>59130</v>
      </c>
      <c r="G1512" s="0" t="str">
        <f aca="false">TEXT(B1512,"MMM YYYY")</f>
        <v>Feb 2026</v>
      </c>
    </row>
    <row r="1513" customFormat="false" ht="15" hidden="false" customHeight="false" outlineLevel="0" collapsed="false">
      <c r="A1513" s="0" t="s">
        <v>3717</v>
      </c>
      <c r="B1513" s="4" t="n">
        <v>46066</v>
      </c>
      <c r="C1513" s="0" t="s">
        <v>277</v>
      </c>
      <c r="D1513" s="0" t="n">
        <v>5</v>
      </c>
      <c r="E1513" s="0" t="s">
        <v>3718</v>
      </c>
      <c r="F1513" s="3" t="n">
        <f aca="false">D1513*_xlfn.XLOOKUP(C1513,Item_Master!A:A,Item_Master!G:G)</f>
        <v>9800</v>
      </c>
      <c r="G1513" s="0" t="str">
        <f aca="false">TEXT(B1513,"MMM YYYY")</f>
        <v>Feb 2026</v>
      </c>
    </row>
    <row r="1514" customFormat="false" ht="15" hidden="false" customHeight="false" outlineLevel="0" collapsed="false">
      <c r="A1514" s="0" t="s">
        <v>3719</v>
      </c>
      <c r="B1514" s="4" t="n">
        <v>46066</v>
      </c>
      <c r="C1514" s="0" t="s">
        <v>279</v>
      </c>
      <c r="D1514" s="0" t="n">
        <v>2</v>
      </c>
      <c r="E1514" s="0" t="s">
        <v>3720</v>
      </c>
      <c r="F1514" s="3" t="n">
        <f aca="false">D1514*_xlfn.XLOOKUP(C1514,Item_Master!A:A,Item_Master!G:G)</f>
        <v>25940</v>
      </c>
      <c r="G1514" s="0" t="str">
        <f aca="false">TEXT(B1514,"MMM YYYY")</f>
        <v>Feb 2026</v>
      </c>
    </row>
    <row r="1515" customFormat="false" ht="15" hidden="false" customHeight="false" outlineLevel="0" collapsed="false">
      <c r="A1515" s="0" t="s">
        <v>3721</v>
      </c>
      <c r="B1515" s="4" t="n">
        <v>46066</v>
      </c>
      <c r="C1515" s="0" t="s">
        <v>295</v>
      </c>
      <c r="D1515" s="0" t="n">
        <v>2</v>
      </c>
      <c r="E1515" s="0" t="s">
        <v>3722</v>
      </c>
      <c r="F1515" s="3" t="n">
        <f aca="false">D1515*_xlfn.XLOOKUP(C1515,Item_Master!A:A,Item_Master!G:G)</f>
        <v>1180</v>
      </c>
      <c r="G1515" s="0" t="str">
        <f aca="false">TEXT(B1515,"MMM YYYY")</f>
        <v>Feb 2026</v>
      </c>
    </row>
    <row r="1516" customFormat="false" ht="15" hidden="false" customHeight="false" outlineLevel="0" collapsed="false">
      <c r="A1516" s="0" t="s">
        <v>3723</v>
      </c>
      <c r="B1516" s="4" t="n">
        <v>46066</v>
      </c>
      <c r="C1516" s="0" t="s">
        <v>370</v>
      </c>
      <c r="D1516" s="0" t="n">
        <v>9</v>
      </c>
      <c r="E1516" s="0" t="s">
        <v>3724</v>
      </c>
      <c r="F1516" s="3" t="n">
        <f aca="false">D1516*_xlfn.XLOOKUP(C1516,Item_Master!A:A,Item_Master!G:G)</f>
        <v>10530</v>
      </c>
      <c r="G1516" s="0" t="str">
        <f aca="false">TEXT(B1516,"MMM YYYY")</f>
        <v>Feb 2026</v>
      </c>
    </row>
    <row r="1517" customFormat="false" ht="15" hidden="false" customHeight="false" outlineLevel="0" collapsed="false">
      <c r="A1517" s="0" t="s">
        <v>3725</v>
      </c>
      <c r="B1517" s="4" t="n">
        <v>46066</v>
      </c>
      <c r="C1517" s="0" t="s">
        <v>374</v>
      </c>
      <c r="D1517" s="0" t="n">
        <v>10</v>
      </c>
      <c r="E1517" s="0" t="s">
        <v>3726</v>
      </c>
      <c r="F1517" s="3" t="n">
        <f aca="false">D1517*_xlfn.XLOOKUP(C1517,Item_Master!A:A,Item_Master!G:G)</f>
        <v>19100</v>
      </c>
      <c r="G1517" s="0" t="str">
        <f aca="false">TEXT(B1517,"MMM YYYY")</f>
        <v>Feb 2026</v>
      </c>
    </row>
    <row r="1518" customFormat="false" ht="15" hidden="false" customHeight="false" outlineLevel="0" collapsed="false">
      <c r="A1518" s="0" t="s">
        <v>3727</v>
      </c>
      <c r="B1518" s="4" t="n">
        <v>46066</v>
      </c>
      <c r="C1518" s="0" t="s">
        <v>382</v>
      </c>
      <c r="D1518" s="0" t="n">
        <v>1</v>
      </c>
      <c r="E1518" s="0" t="s">
        <v>3728</v>
      </c>
      <c r="F1518" s="3" t="n">
        <f aca="false">D1518*_xlfn.XLOOKUP(C1518,Item_Master!A:A,Item_Master!G:G)</f>
        <v>2060</v>
      </c>
      <c r="G1518" s="0" t="str">
        <f aca="false">TEXT(B1518,"MMM YYYY")</f>
        <v>Feb 2026</v>
      </c>
    </row>
    <row r="1519" customFormat="false" ht="15" hidden="false" customHeight="false" outlineLevel="0" collapsed="false">
      <c r="A1519" s="0" t="s">
        <v>3729</v>
      </c>
      <c r="B1519" s="4" t="n">
        <v>46066</v>
      </c>
      <c r="C1519" s="0" t="s">
        <v>496</v>
      </c>
      <c r="D1519" s="0" t="n">
        <v>15</v>
      </c>
      <c r="E1519" s="0" t="s">
        <v>3730</v>
      </c>
      <c r="F1519" s="3" t="n">
        <f aca="false">D1519*_xlfn.XLOOKUP(C1519,Item_Master!A:A,Item_Master!G:G)</f>
        <v>7650</v>
      </c>
      <c r="G1519" s="0" t="str">
        <f aca="false">TEXT(B1519,"MMM YYYY")</f>
        <v>Feb 2026</v>
      </c>
    </row>
    <row r="1520" customFormat="false" ht="15" hidden="false" customHeight="false" outlineLevel="0" collapsed="false">
      <c r="A1520" s="0" t="s">
        <v>3731</v>
      </c>
      <c r="B1520" s="4" t="n">
        <v>46066</v>
      </c>
      <c r="C1520" s="0" t="s">
        <v>521</v>
      </c>
      <c r="D1520" s="0" t="n">
        <v>16</v>
      </c>
      <c r="E1520" s="0" t="s">
        <v>3732</v>
      </c>
      <c r="F1520" s="3" t="n">
        <f aca="false">D1520*_xlfn.XLOOKUP(C1520,Item_Master!A:A,Item_Master!G:G)</f>
        <v>9760</v>
      </c>
      <c r="G1520" s="0" t="str">
        <f aca="false">TEXT(B1520,"MMM YYYY")</f>
        <v>Feb 2026</v>
      </c>
    </row>
    <row r="1521" customFormat="false" ht="15" hidden="false" customHeight="false" outlineLevel="0" collapsed="false">
      <c r="A1521" s="0" t="s">
        <v>3733</v>
      </c>
      <c r="B1521" s="4" t="n">
        <v>46066</v>
      </c>
      <c r="C1521" s="0" t="s">
        <v>586</v>
      </c>
      <c r="D1521" s="0" t="n">
        <v>3</v>
      </c>
      <c r="E1521" s="0" t="s">
        <v>3734</v>
      </c>
      <c r="F1521" s="3" t="n">
        <f aca="false">D1521*_xlfn.XLOOKUP(C1521,Item_Master!A:A,Item_Master!G:G)</f>
        <v>5100</v>
      </c>
      <c r="G1521" s="0" t="str">
        <f aca="false">TEXT(B1521,"MMM YYYY")</f>
        <v>Feb 2026</v>
      </c>
    </row>
    <row r="1522" customFormat="false" ht="15" hidden="false" customHeight="false" outlineLevel="0" collapsed="false">
      <c r="A1522" s="0" t="s">
        <v>3735</v>
      </c>
      <c r="B1522" s="4" t="n">
        <v>46066</v>
      </c>
      <c r="C1522" s="0" t="s">
        <v>624</v>
      </c>
      <c r="D1522" s="0" t="n">
        <v>16</v>
      </c>
      <c r="E1522" s="0" t="s">
        <v>3736</v>
      </c>
      <c r="F1522" s="3" t="n">
        <f aca="false">D1522*_xlfn.XLOOKUP(C1522,Item_Master!A:A,Item_Master!G:G)</f>
        <v>9920</v>
      </c>
      <c r="G1522" s="0" t="str">
        <f aca="false">TEXT(B1522,"MMM YYYY")</f>
        <v>Feb 2026</v>
      </c>
    </row>
    <row r="1523" customFormat="false" ht="15" hidden="false" customHeight="false" outlineLevel="0" collapsed="false">
      <c r="A1523" s="0" t="s">
        <v>3737</v>
      </c>
      <c r="B1523" s="4" t="n">
        <v>46066</v>
      </c>
      <c r="C1523" s="0" t="s">
        <v>643</v>
      </c>
      <c r="D1523" s="0" t="n">
        <v>40</v>
      </c>
      <c r="E1523" s="0" t="s">
        <v>3738</v>
      </c>
      <c r="F1523" s="3" t="n">
        <f aca="false">D1523*_xlfn.XLOOKUP(C1523,Item_Master!A:A,Item_Master!G:G)</f>
        <v>56000</v>
      </c>
      <c r="G1523" s="0" t="str">
        <f aca="false">TEXT(B1523,"MMM YYYY")</f>
        <v>Feb 2026</v>
      </c>
    </row>
    <row r="1524" customFormat="false" ht="15" hidden="false" customHeight="false" outlineLevel="0" collapsed="false">
      <c r="A1524" s="0" t="s">
        <v>3739</v>
      </c>
      <c r="B1524" s="4" t="n">
        <v>46067</v>
      </c>
      <c r="C1524" s="0" t="s">
        <v>169</v>
      </c>
      <c r="D1524" s="0" t="n">
        <v>7</v>
      </c>
      <c r="E1524" s="0" t="s">
        <v>3545</v>
      </c>
      <c r="F1524" s="3" t="n">
        <f aca="false">D1524*_xlfn.XLOOKUP(C1524,Item_Master!A:A,Item_Master!G:G)</f>
        <v>28840</v>
      </c>
      <c r="G1524" s="0" t="str">
        <f aca="false">TEXT(B1524,"MMM YYYY")</f>
        <v>Feb 2026</v>
      </c>
    </row>
    <row r="1525" customFormat="false" ht="15" hidden="false" customHeight="false" outlineLevel="0" collapsed="false">
      <c r="A1525" s="0" t="s">
        <v>3740</v>
      </c>
      <c r="B1525" s="4" t="n">
        <v>46067</v>
      </c>
      <c r="C1525" s="0" t="s">
        <v>180</v>
      </c>
      <c r="D1525" s="0" t="n">
        <v>6</v>
      </c>
      <c r="E1525" s="0" t="s">
        <v>3741</v>
      </c>
      <c r="F1525" s="3" t="n">
        <f aca="false">D1525*_xlfn.XLOOKUP(C1525,Item_Master!A:A,Item_Master!G:G)</f>
        <v>57360</v>
      </c>
      <c r="G1525" s="0" t="str">
        <f aca="false">TEXT(B1525,"MMM YYYY")</f>
        <v>Feb 2026</v>
      </c>
    </row>
    <row r="1526" customFormat="false" ht="15" hidden="false" customHeight="false" outlineLevel="0" collapsed="false">
      <c r="A1526" s="0" t="s">
        <v>3742</v>
      </c>
      <c r="B1526" s="4" t="n">
        <v>46067</v>
      </c>
      <c r="C1526" s="0" t="s">
        <v>291</v>
      </c>
      <c r="D1526" s="0" t="n">
        <v>24</v>
      </c>
      <c r="E1526" s="0" t="s">
        <v>3743</v>
      </c>
      <c r="F1526" s="3" t="n">
        <f aca="false">D1526*_xlfn.XLOOKUP(C1526,Item_Master!A:A,Item_Master!G:G)</f>
        <v>362400</v>
      </c>
      <c r="G1526" s="0" t="str">
        <f aca="false">TEXT(B1526,"MMM YYYY")</f>
        <v>Feb 2026</v>
      </c>
    </row>
    <row r="1527" customFormat="false" ht="15" hidden="false" customHeight="false" outlineLevel="0" collapsed="false">
      <c r="A1527" s="0" t="s">
        <v>3744</v>
      </c>
      <c r="B1527" s="4" t="n">
        <v>46067</v>
      </c>
      <c r="C1527" s="0" t="s">
        <v>486</v>
      </c>
      <c r="D1527" s="0" t="n">
        <v>22</v>
      </c>
      <c r="E1527" s="0" t="s">
        <v>3745</v>
      </c>
      <c r="F1527" s="3" t="n">
        <f aca="false">D1527*_xlfn.XLOOKUP(C1527,Item_Master!A:A,Item_Master!G:G)</f>
        <v>37400</v>
      </c>
      <c r="G1527" s="0" t="str">
        <f aca="false">TEXT(B1527,"MMM YYYY")</f>
        <v>Feb 2026</v>
      </c>
    </row>
    <row r="1528" customFormat="false" ht="15" hidden="false" customHeight="false" outlineLevel="0" collapsed="false">
      <c r="A1528" s="0" t="s">
        <v>3746</v>
      </c>
      <c r="B1528" s="4" t="n">
        <v>46067</v>
      </c>
      <c r="C1528" s="0" t="s">
        <v>516</v>
      </c>
      <c r="D1528" s="0" t="n">
        <v>3</v>
      </c>
      <c r="E1528" s="0" t="s">
        <v>3747</v>
      </c>
      <c r="F1528" s="3" t="n">
        <f aca="false">D1528*_xlfn.XLOOKUP(C1528,Item_Master!A:A,Item_Master!G:G)</f>
        <v>18360</v>
      </c>
      <c r="G1528" s="0" t="str">
        <f aca="false">TEXT(B1528,"MMM YYYY")</f>
        <v>Feb 2026</v>
      </c>
    </row>
    <row r="1529" customFormat="false" ht="15" hidden="false" customHeight="false" outlineLevel="0" collapsed="false">
      <c r="A1529" s="0" t="s">
        <v>3748</v>
      </c>
      <c r="B1529" s="4" t="n">
        <v>46067</v>
      </c>
      <c r="C1529" s="0" t="s">
        <v>645</v>
      </c>
      <c r="D1529" s="0" t="n">
        <v>6</v>
      </c>
      <c r="E1529" s="0" t="s">
        <v>3749</v>
      </c>
      <c r="F1529" s="3" t="n">
        <f aca="false">D1529*_xlfn.XLOOKUP(C1529,Item_Master!A:A,Item_Master!G:G)</f>
        <v>72660</v>
      </c>
      <c r="G1529" s="0" t="str">
        <f aca="false">TEXT(B1529,"MMM YYYY")</f>
        <v>Feb 2026</v>
      </c>
    </row>
    <row r="1530" customFormat="false" ht="15" hidden="false" customHeight="false" outlineLevel="0" collapsed="false">
      <c r="A1530" s="0" t="s">
        <v>3750</v>
      </c>
      <c r="B1530" s="4" t="n">
        <v>46068</v>
      </c>
      <c r="C1530" s="0" t="s">
        <v>221</v>
      </c>
      <c r="D1530" s="0" t="n">
        <v>25</v>
      </c>
      <c r="E1530" s="0" t="s">
        <v>3751</v>
      </c>
      <c r="F1530" s="3" t="n">
        <f aca="false">D1530*_xlfn.XLOOKUP(C1530,Item_Master!A:A,Item_Master!G:G)</f>
        <v>39250</v>
      </c>
      <c r="G1530" s="0" t="str">
        <f aca="false">TEXT(B1530,"MMM YYYY")</f>
        <v>Feb 2026</v>
      </c>
    </row>
    <row r="1531" customFormat="false" ht="15" hidden="false" customHeight="false" outlineLevel="0" collapsed="false">
      <c r="A1531" s="0" t="s">
        <v>3752</v>
      </c>
      <c r="B1531" s="4" t="n">
        <v>46068</v>
      </c>
      <c r="C1531" s="0" t="s">
        <v>328</v>
      </c>
      <c r="D1531" s="0" t="n">
        <v>29</v>
      </c>
      <c r="E1531" s="0" t="s">
        <v>3753</v>
      </c>
      <c r="F1531" s="3" t="n">
        <f aca="false">D1531*_xlfn.XLOOKUP(C1531,Item_Master!A:A,Item_Master!G:G)</f>
        <v>89030</v>
      </c>
      <c r="G1531" s="0" t="str">
        <f aca="false">TEXT(B1531,"MMM YYYY")</f>
        <v>Feb 2026</v>
      </c>
    </row>
    <row r="1532" customFormat="false" ht="15" hidden="false" customHeight="false" outlineLevel="0" collapsed="false">
      <c r="A1532" s="0" t="s">
        <v>3754</v>
      </c>
      <c r="B1532" s="4" t="n">
        <v>46068</v>
      </c>
      <c r="C1532" s="0" t="s">
        <v>391</v>
      </c>
      <c r="D1532" s="0" t="n">
        <v>11</v>
      </c>
      <c r="E1532" s="0" t="s">
        <v>3755</v>
      </c>
      <c r="F1532" s="3" t="n">
        <f aca="false">D1532*_xlfn.XLOOKUP(C1532,Item_Master!A:A,Item_Master!G:G)</f>
        <v>15290</v>
      </c>
      <c r="G1532" s="0" t="str">
        <f aca="false">TEXT(B1532,"MMM YYYY")</f>
        <v>Feb 2026</v>
      </c>
    </row>
    <row r="1533" customFormat="false" ht="15" hidden="false" customHeight="false" outlineLevel="0" collapsed="false">
      <c r="A1533" s="0" t="s">
        <v>3756</v>
      </c>
      <c r="B1533" s="4" t="n">
        <v>46068</v>
      </c>
      <c r="C1533" s="0" t="s">
        <v>394</v>
      </c>
      <c r="D1533" s="0" t="n">
        <v>15</v>
      </c>
      <c r="E1533" s="0" t="s">
        <v>3757</v>
      </c>
      <c r="F1533" s="3" t="n">
        <f aca="false">D1533*_xlfn.XLOOKUP(C1533,Item_Master!A:A,Item_Master!G:G)</f>
        <v>15900</v>
      </c>
      <c r="G1533" s="0" t="str">
        <f aca="false">TEXT(B1533,"MMM YYYY")</f>
        <v>Feb 2026</v>
      </c>
    </row>
    <row r="1534" customFormat="false" ht="15" hidden="false" customHeight="false" outlineLevel="0" collapsed="false">
      <c r="A1534" s="0" t="s">
        <v>3758</v>
      </c>
      <c r="B1534" s="4" t="n">
        <v>46068</v>
      </c>
      <c r="C1534" s="0" t="s">
        <v>456</v>
      </c>
      <c r="D1534" s="0" t="n">
        <v>10</v>
      </c>
      <c r="E1534" s="0" t="s">
        <v>3759</v>
      </c>
      <c r="F1534" s="3" t="n">
        <f aca="false">D1534*_xlfn.XLOOKUP(C1534,Item_Master!A:A,Item_Master!G:G)</f>
        <v>6500</v>
      </c>
      <c r="G1534" s="0" t="str">
        <f aca="false">TEXT(B1534,"MMM YYYY")</f>
        <v>Feb 2026</v>
      </c>
    </row>
    <row r="1535" customFormat="false" ht="15" hidden="false" customHeight="false" outlineLevel="0" collapsed="false">
      <c r="A1535" s="0" t="s">
        <v>3760</v>
      </c>
      <c r="B1535" s="4" t="n">
        <v>46068</v>
      </c>
      <c r="C1535" s="0" t="s">
        <v>480</v>
      </c>
      <c r="D1535" s="0" t="n">
        <v>19</v>
      </c>
      <c r="E1535" s="0" t="s">
        <v>3761</v>
      </c>
      <c r="F1535" s="3" t="n">
        <f aca="false">D1535*_xlfn.XLOOKUP(C1535,Item_Master!A:A,Item_Master!G:G)</f>
        <v>49970</v>
      </c>
      <c r="G1535" s="0" t="str">
        <f aca="false">TEXT(B1535,"MMM YYYY")</f>
        <v>Feb 2026</v>
      </c>
    </row>
    <row r="1536" customFormat="false" ht="15" hidden="false" customHeight="false" outlineLevel="0" collapsed="false">
      <c r="A1536" s="0" t="s">
        <v>3762</v>
      </c>
      <c r="B1536" s="4" t="n">
        <v>46068</v>
      </c>
      <c r="C1536" s="0" t="s">
        <v>624</v>
      </c>
      <c r="D1536" s="0" t="n">
        <v>40</v>
      </c>
      <c r="E1536" s="0" t="s">
        <v>3763</v>
      </c>
      <c r="F1536" s="3" t="n">
        <f aca="false">D1536*_xlfn.XLOOKUP(C1536,Item_Master!A:A,Item_Master!G:G)</f>
        <v>24800</v>
      </c>
      <c r="G1536" s="0" t="str">
        <f aca="false">TEXT(B1536,"MMM YYYY")</f>
        <v>Feb 2026</v>
      </c>
    </row>
    <row r="1537" customFormat="false" ht="15" hidden="false" customHeight="false" outlineLevel="0" collapsed="false">
      <c r="A1537" s="0" t="s">
        <v>3764</v>
      </c>
      <c r="B1537" s="4" t="n">
        <v>46068</v>
      </c>
      <c r="C1537" s="0" t="s">
        <v>651</v>
      </c>
      <c r="D1537" s="0" t="n">
        <v>25</v>
      </c>
      <c r="E1537" s="0" t="s">
        <v>3765</v>
      </c>
      <c r="F1537" s="3" t="n">
        <f aca="false">D1537*_xlfn.XLOOKUP(C1537,Item_Master!A:A,Item_Master!G:G)</f>
        <v>23000</v>
      </c>
      <c r="G1537" s="0" t="str">
        <f aca="false">TEXT(B1537,"MMM YYYY")</f>
        <v>Feb 2026</v>
      </c>
    </row>
    <row r="1538" customFormat="false" ht="15" hidden="false" customHeight="false" outlineLevel="0" collapsed="false">
      <c r="A1538" s="0" t="s">
        <v>3766</v>
      </c>
      <c r="B1538" s="4" t="n">
        <v>46069</v>
      </c>
      <c r="C1538" s="0" t="s">
        <v>239</v>
      </c>
      <c r="D1538" s="0" t="n">
        <v>8</v>
      </c>
      <c r="E1538" s="0" t="s">
        <v>3767</v>
      </c>
      <c r="F1538" s="3" t="n">
        <f aca="false">D1538*_xlfn.XLOOKUP(C1538,Item_Master!A:A,Item_Master!G:G)</f>
        <v>14000</v>
      </c>
      <c r="G1538" s="0" t="str">
        <f aca="false">TEXT(B1538,"MMM YYYY")</f>
        <v>Feb 2026</v>
      </c>
    </row>
    <row r="1539" customFormat="false" ht="15" hidden="false" customHeight="false" outlineLevel="0" collapsed="false">
      <c r="A1539" s="0" t="s">
        <v>3768</v>
      </c>
      <c r="B1539" s="4" t="n">
        <v>46069</v>
      </c>
      <c r="C1539" s="0" t="s">
        <v>243</v>
      </c>
      <c r="D1539" s="0" t="n">
        <v>26</v>
      </c>
      <c r="E1539" s="0" t="s">
        <v>3769</v>
      </c>
      <c r="F1539" s="3" t="n">
        <f aca="false">D1539*_xlfn.XLOOKUP(C1539,Item_Master!A:A,Item_Master!G:G)</f>
        <v>30420</v>
      </c>
      <c r="G1539" s="0" t="str">
        <f aca="false">TEXT(B1539,"MMM YYYY")</f>
        <v>Feb 2026</v>
      </c>
    </row>
    <row r="1540" customFormat="false" ht="15" hidden="false" customHeight="false" outlineLevel="0" collapsed="false">
      <c r="A1540" s="0" t="s">
        <v>3770</v>
      </c>
      <c r="B1540" s="4" t="n">
        <v>46069</v>
      </c>
      <c r="C1540" s="0" t="s">
        <v>351</v>
      </c>
      <c r="D1540" s="0" t="n">
        <v>34</v>
      </c>
      <c r="E1540" s="0" t="s">
        <v>3771</v>
      </c>
      <c r="F1540" s="3" t="n">
        <f aca="false">D1540*_xlfn.XLOOKUP(C1540,Item_Master!A:A,Item_Master!G:G)</f>
        <v>60520</v>
      </c>
      <c r="G1540" s="0" t="str">
        <f aca="false">TEXT(B1540,"MMM YYYY")</f>
        <v>Feb 2026</v>
      </c>
    </row>
    <row r="1541" customFormat="false" ht="15" hidden="false" customHeight="false" outlineLevel="0" collapsed="false">
      <c r="A1541" s="0" t="s">
        <v>3772</v>
      </c>
      <c r="B1541" s="4" t="n">
        <v>46069</v>
      </c>
      <c r="C1541" s="0" t="s">
        <v>509</v>
      </c>
      <c r="D1541" s="0" t="n">
        <v>28</v>
      </c>
      <c r="E1541" s="0" t="s">
        <v>3773</v>
      </c>
      <c r="F1541" s="3" t="n">
        <f aca="false">D1541*_xlfn.XLOOKUP(C1541,Item_Master!A:A,Item_Master!G:G)</f>
        <v>10640</v>
      </c>
      <c r="G1541" s="0" t="str">
        <f aca="false">TEXT(B1541,"MMM YYYY")</f>
        <v>Feb 2026</v>
      </c>
    </row>
    <row r="1542" customFormat="false" ht="15" hidden="false" customHeight="false" outlineLevel="0" collapsed="false">
      <c r="A1542" s="0" t="s">
        <v>3774</v>
      </c>
      <c r="B1542" s="4" t="n">
        <v>46069</v>
      </c>
      <c r="C1542" s="0" t="s">
        <v>601</v>
      </c>
      <c r="D1542" s="0" t="n">
        <v>24</v>
      </c>
      <c r="E1542" s="0" t="s">
        <v>3775</v>
      </c>
      <c r="F1542" s="3" t="n">
        <f aca="false">D1542*_xlfn.XLOOKUP(C1542,Item_Master!A:A,Item_Master!G:G)</f>
        <v>53760</v>
      </c>
      <c r="G1542" s="0" t="str">
        <f aca="false">TEXT(B1542,"MMM YYYY")</f>
        <v>Feb 2026</v>
      </c>
    </row>
    <row r="1543" customFormat="false" ht="15" hidden="false" customHeight="false" outlineLevel="0" collapsed="false">
      <c r="A1543" s="0" t="s">
        <v>3776</v>
      </c>
      <c r="B1543" s="4" t="n">
        <v>46069</v>
      </c>
      <c r="C1543" s="0" t="s">
        <v>704</v>
      </c>
      <c r="D1543" s="0" t="n">
        <v>30</v>
      </c>
      <c r="E1543" s="0" t="s">
        <v>3777</v>
      </c>
      <c r="F1543" s="3" t="n">
        <f aca="false">D1543*_xlfn.XLOOKUP(C1543,Item_Master!A:A,Item_Master!G:G)</f>
        <v>13800</v>
      </c>
      <c r="G1543" s="0" t="str">
        <f aca="false">TEXT(B1543,"MMM YYYY")</f>
        <v>Feb 2026</v>
      </c>
    </row>
    <row r="1544" customFormat="false" ht="15" hidden="false" customHeight="false" outlineLevel="0" collapsed="false">
      <c r="A1544" s="0" t="s">
        <v>3778</v>
      </c>
      <c r="B1544" s="4" t="n">
        <v>46070</v>
      </c>
      <c r="C1544" s="0" t="s">
        <v>105</v>
      </c>
      <c r="D1544" s="0" t="n">
        <v>6</v>
      </c>
      <c r="E1544" s="0" t="s">
        <v>3779</v>
      </c>
      <c r="F1544" s="3" t="n">
        <f aca="false">D1544*_xlfn.XLOOKUP(C1544,Item_Master!A:A,Item_Master!G:G)</f>
        <v>82320</v>
      </c>
      <c r="G1544" s="0" t="str">
        <f aca="false">TEXT(B1544,"MMM YYYY")</f>
        <v>Feb 2026</v>
      </c>
    </row>
    <row r="1545" customFormat="false" ht="15" hidden="false" customHeight="false" outlineLevel="0" collapsed="false">
      <c r="A1545" s="0" t="s">
        <v>3780</v>
      </c>
      <c r="B1545" s="4" t="n">
        <v>46070</v>
      </c>
      <c r="C1545" s="0" t="s">
        <v>136</v>
      </c>
      <c r="D1545" s="0" t="n">
        <v>7</v>
      </c>
      <c r="E1545" s="0" t="s">
        <v>3781</v>
      </c>
      <c r="F1545" s="3" t="n">
        <f aca="false">D1545*_xlfn.XLOOKUP(C1545,Item_Master!A:A,Item_Master!G:G)</f>
        <v>10430</v>
      </c>
      <c r="G1545" s="0" t="str">
        <f aca="false">TEXT(B1545,"MMM YYYY")</f>
        <v>Feb 2026</v>
      </c>
    </row>
    <row r="1546" customFormat="false" ht="15" hidden="false" customHeight="false" outlineLevel="0" collapsed="false">
      <c r="A1546" s="0" t="s">
        <v>3782</v>
      </c>
      <c r="B1546" s="4" t="n">
        <v>46070</v>
      </c>
      <c r="C1546" s="0" t="s">
        <v>207</v>
      </c>
      <c r="D1546" s="0" t="n">
        <v>39</v>
      </c>
      <c r="E1546" s="0" t="s">
        <v>3783</v>
      </c>
      <c r="F1546" s="3" t="n">
        <f aca="false">D1546*_xlfn.XLOOKUP(C1546,Item_Master!A:A,Item_Master!G:G)</f>
        <v>101010</v>
      </c>
      <c r="G1546" s="0" t="str">
        <f aca="false">TEXT(B1546,"MMM YYYY")</f>
        <v>Feb 2026</v>
      </c>
    </row>
    <row r="1547" customFormat="false" ht="15" hidden="false" customHeight="false" outlineLevel="0" collapsed="false">
      <c r="A1547" s="0" t="s">
        <v>3784</v>
      </c>
      <c r="B1547" s="4" t="n">
        <v>46070</v>
      </c>
      <c r="C1547" s="0" t="s">
        <v>249</v>
      </c>
      <c r="D1547" s="0" t="n">
        <v>23</v>
      </c>
      <c r="E1547" s="0" t="s">
        <v>3785</v>
      </c>
      <c r="F1547" s="3" t="n">
        <f aca="false">D1547*_xlfn.XLOOKUP(C1547,Item_Master!A:A,Item_Master!G:G)</f>
        <v>64400</v>
      </c>
      <c r="G1547" s="0" t="str">
        <f aca="false">TEXT(B1547,"MMM YYYY")</f>
        <v>Feb 2026</v>
      </c>
    </row>
    <row r="1548" customFormat="false" ht="15" hidden="false" customHeight="false" outlineLevel="0" collapsed="false">
      <c r="A1548" s="0" t="s">
        <v>3786</v>
      </c>
      <c r="B1548" s="4" t="n">
        <v>46070</v>
      </c>
      <c r="C1548" s="0" t="s">
        <v>262</v>
      </c>
      <c r="D1548" s="0" t="n">
        <v>21</v>
      </c>
      <c r="E1548" s="0" t="s">
        <v>3787</v>
      </c>
      <c r="F1548" s="3" t="n">
        <f aca="false">D1548*_xlfn.XLOOKUP(C1548,Item_Master!A:A,Item_Master!G:G)</f>
        <v>45990</v>
      </c>
      <c r="G1548" s="0" t="str">
        <f aca="false">TEXT(B1548,"MMM YYYY")</f>
        <v>Feb 2026</v>
      </c>
    </row>
    <row r="1549" customFormat="false" ht="15" hidden="false" customHeight="false" outlineLevel="0" collapsed="false">
      <c r="A1549" s="0" t="s">
        <v>3788</v>
      </c>
      <c r="B1549" s="4" t="n">
        <v>46070</v>
      </c>
      <c r="C1549" s="0" t="s">
        <v>269</v>
      </c>
      <c r="D1549" s="0" t="n">
        <v>30</v>
      </c>
      <c r="E1549" s="0" t="s">
        <v>3789</v>
      </c>
      <c r="F1549" s="3" t="n">
        <f aca="false">D1549*_xlfn.XLOOKUP(C1549,Item_Master!A:A,Item_Master!G:G)</f>
        <v>72300</v>
      </c>
      <c r="G1549" s="0" t="str">
        <f aca="false">TEXT(B1549,"MMM YYYY")</f>
        <v>Feb 2026</v>
      </c>
    </row>
    <row r="1550" customFormat="false" ht="15" hidden="false" customHeight="false" outlineLevel="0" collapsed="false">
      <c r="A1550" s="0" t="s">
        <v>3790</v>
      </c>
      <c r="B1550" s="4" t="n">
        <v>46070</v>
      </c>
      <c r="C1550" s="0" t="s">
        <v>361</v>
      </c>
      <c r="D1550" s="0" t="n">
        <v>5</v>
      </c>
      <c r="E1550" s="0" t="s">
        <v>3791</v>
      </c>
      <c r="F1550" s="3" t="n">
        <f aca="false">D1550*_xlfn.XLOOKUP(C1550,Item_Master!A:A,Item_Master!G:G)</f>
        <v>12500</v>
      </c>
      <c r="G1550" s="0" t="str">
        <f aca="false">TEXT(B1550,"MMM YYYY")</f>
        <v>Feb 2026</v>
      </c>
    </row>
    <row r="1551" customFormat="false" ht="15" hidden="false" customHeight="false" outlineLevel="0" collapsed="false">
      <c r="A1551" s="0" t="s">
        <v>3792</v>
      </c>
      <c r="B1551" s="4" t="n">
        <v>46070</v>
      </c>
      <c r="C1551" s="0" t="s">
        <v>376</v>
      </c>
      <c r="D1551" s="0" t="n">
        <v>6</v>
      </c>
      <c r="E1551" s="0" t="s">
        <v>1954</v>
      </c>
      <c r="F1551" s="3" t="n">
        <f aca="false">D1551*_xlfn.XLOOKUP(C1551,Item_Master!A:A,Item_Master!G:G)</f>
        <v>8340</v>
      </c>
      <c r="G1551" s="0" t="str">
        <f aca="false">TEXT(B1551,"MMM YYYY")</f>
        <v>Feb 2026</v>
      </c>
    </row>
    <row r="1552" customFormat="false" ht="15" hidden="false" customHeight="false" outlineLevel="0" collapsed="false">
      <c r="A1552" s="0" t="s">
        <v>3793</v>
      </c>
      <c r="B1552" s="4" t="n">
        <v>46070</v>
      </c>
      <c r="C1552" s="0" t="s">
        <v>396</v>
      </c>
      <c r="D1552" s="0" t="n">
        <v>13</v>
      </c>
      <c r="E1552" s="0" t="s">
        <v>3794</v>
      </c>
      <c r="F1552" s="3" t="n">
        <f aca="false">D1552*_xlfn.XLOOKUP(C1552,Item_Master!A:A,Item_Master!G:G)</f>
        <v>34320</v>
      </c>
      <c r="G1552" s="0" t="str">
        <f aca="false">TEXT(B1552,"MMM YYYY")</f>
        <v>Feb 2026</v>
      </c>
    </row>
    <row r="1553" customFormat="false" ht="15" hidden="false" customHeight="false" outlineLevel="0" collapsed="false">
      <c r="A1553" s="0" t="s">
        <v>3795</v>
      </c>
      <c r="B1553" s="4" t="n">
        <v>46070</v>
      </c>
      <c r="C1553" s="0" t="s">
        <v>461</v>
      </c>
      <c r="D1553" s="0" t="n">
        <v>26</v>
      </c>
      <c r="E1553" s="0" t="s">
        <v>3796</v>
      </c>
      <c r="F1553" s="3" t="n">
        <f aca="false">D1553*_xlfn.XLOOKUP(C1553,Item_Master!A:A,Item_Master!G:G)</f>
        <v>39780</v>
      </c>
      <c r="G1553" s="0" t="str">
        <f aca="false">TEXT(B1553,"MMM YYYY")</f>
        <v>Feb 2026</v>
      </c>
    </row>
    <row r="1554" customFormat="false" ht="15" hidden="false" customHeight="false" outlineLevel="0" collapsed="false">
      <c r="A1554" s="0" t="s">
        <v>3797</v>
      </c>
      <c r="B1554" s="4" t="n">
        <v>46070</v>
      </c>
      <c r="C1554" s="0" t="s">
        <v>473</v>
      </c>
      <c r="D1554" s="0" t="n">
        <v>15</v>
      </c>
      <c r="E1554" s="0" t="s">
        <v>3798</v>
      </c>
      <c r="F1554" s="3" t="n">
        <f aca="false">D1554*_xlfn.XLOOKUP(C1554,Item_Master!A:A,Item_Master!G:G)</f>
        <v>2850</v>
      </c>
      <c r="G1554" s="0" t="str">
        <f aca="false">TEXT(B1554,"MMM YYYY")</f>
        <v>Feb 2026</v>
      </c>
    </row>
    <row r="1555" customFormat="false" ht="15" hidden="false" customHeight="false" outlineLevel="0" collapsed="false">
      <c r="A1555" s="0" t="s">
        <v>3799</v>
      </c>
      <c r="B1555" s="4" t="n">
        <v>46070</v>
      </c>
      <c r="C1555" s="0" t="s">
        <v>496</v>
      </c>
      <c r="D1555" s="0" t="n">
        <v>36</v>
      </c>
      <c r="E1555" s="0" t="s">
        <v>3800</v>
      </c>
      <c r="F1555" s="3" t="n">
        <f aca="false">D1555*_xlfn.XLOOKUP(C1555,Item_Master!A:A,Item_Master!G:G)</f>
        <v>18360</v>
      </c>
      <c r="G1555" s="0" t="str">
        <f aca="false">TEXT(B1555,"MMM YYYY")</f>
        <v>Feb 2026</v>
      </c>
    </row>
    <row r="1556" customFormat="false" ht="15" hidden="false" customHeight="false" outlineLevel="0" collapsed="false">
      <c r="A1556" s="0" t="s">
        <v>3801</v>
      </c>
      <c r="B1556" s="4" t="n">
        <v>46070</v>
      </c>
      <c r="C1556" s="0" t="s">
        <v>584</v>
      </c>
      <c r="D1556" s="0" t="n">
        <v>15</v>
      </c>
      <c r="E1556" s="0" t="s">
        <v>3802</v>
      </c>
      <c r="F1556" s="3" t="n">
        <f aca="false">D1556*_xlfn.XLOOKUP(C1556,Item_Master!A:A,Item_Master!G:G)</f>
        <v>124200</v>
      </c>
      <c r="G1556" s="0" t="str">
        <f aca="false">TEXT(B1556,"MMM YYYY")</f>
        <v>Feb 2026</v>
      </c>
    </row>
    <row r="1557" customFormat="false" ht="15" hidden="false" customHeight="false" outlineLevel="0" collapsed="false">
      <c r="A1557" s="0" t="s">
        <v>3803</v>
      </c>
      <c r="B1557" s="4" t="n">
        <v>46071</v>
      </c>
      <c r="C1557" s="0" t="s">
        <v>363</v>
      </c>
      <c r="D1557" s="0" t="n">
        <v>13</v>
      </c>
      <c r="E1557" s="0" t="s">
        <v>3804</v>
      </c>
      <c r="F1557" s="3" t="n">
        <f aca="false">D1557*_xlfn.XLOOKUP(C1557,Item_Master!A:A,Item_Master!G:G)</f>
        <v>17940</v>
      </c>
      <c r="G1557" s="0" t="str">
        <f aca="false">TEXT(B1557,"MMM YYYY")</f>
        <v>Feb 2026</v>
      </c>
    </row>
    <row r="1558" customFormat="false" ht="15" hidden="false" customHeight="false" outlineLevel="0" collapsed="false">
      <c r="A1558" s="0" t="s">
        <v>3805</v>
      </c>
      <c r="B1558" s="4" t="n">
        <v>46071</v>
      </c>
      <c r="C1558" s="0" t="s">
        <v>391</v>
      </c>
      <c r="D1558" s="0" t="n">
        <v>22</v>
      </c>
      <c r="E1558" s="0" t="s">
        <v>3806</v>
      </c>
      <c r="F1558" s="3" t="n">
        <f aca="false">D1558*_xlfn.XLOOKUP(C1558,Item_Master!A:A,Item_Master!G:G)</f>
        <v>30580</v>
      </c>
      <c r="G1558" s="0" t="str">
        <f aca="false">TEXT(B1558,"MMM YYYY")</f>
        <v>Feb 2026</v>
      </c>
    </row>
    <row r="1559" customFormat="false" ht="15" hidden="false" customHeight="false" outlineLevel="0" collapsed="false">
      <c r="A1559" s="0" t="s">
        <v>3807</v>
      </c>
      <c r="B1559" s="4" t="n">
        <v>46071</v>
      </c>
      <c r="C1559" s="0" t="s">
        <v>453</v>
      </c>
      <c r="D1559" s="0" t="n">
        <v>39</v>
      </c>
      <c r="E1559" s="0" t="s">
        <v>3808</v>
      </c>
      <c r="F1559" s="3" t="n">
        <f aca="false">D1559*_xlfn.XLOOKUP(C1559,Item_Master!A:A,Item_Master!G:G)</f>
        <v>85410</v>
      </c>
      <c r="G1559" s="0" t="str">
        <f aca="false">TEXT(B1559,"MMM YYYY")</f>
        <v>Feb 2026</v>
      </c>
    </row>
    <row r="1560" customFormat="false" ht="15" hidden="false" customHeight="false" outlineLevel="0" collapsed="false">
      <c r="A1560" s="0" t="s">
        <v>3809</v>
      </c>
      <c r="B1560" s="4" t="n">
        <v>46071</v>
      </c>
      <c r="C1560" s="0" t="s">
        <v>562</v>
      </c>
      <c r="D1560" s="0" t="n">
        <v>38</v>
      </c>
      <c r="E1560" s="0" t="s">
        <v>3810</v>
      </c>
      <c r="F1560" s="3" t="n">
        <f aca="false">D1560*_xlfn.XLOOKUP(C1560,Item_Master!A:A,Item_Master!G:G)</f>
        <v>54340</v>
      </c>
      <c r="G1560" s="0" t="str">
        <f aca="false">TEXT(B1560,"MMM YYYY")</f>
        <v>Feb 2026</v>
      </c>
    </row>
    <row r="1561" customFormat="false" ht="15" hidden="false" customHeight="false" outlineLevel="0" collapsed="false">
      <c r="A1561" s="0" t="s">
        <v>3811</v>
      </c>
      <c r="B1561" s="4" t="n">
        <v>46071</v>
      </c>
      <c r="C1561" s="0" t="s">
        <v>592</v>
      </c>
      <c r="D1561" s="0" t="n">
        <v>2</v>
      </c>
      <c r="E1561" s="0" t="s">
        <v>3812</v>
      </c>
      <c r="F1561" s="3" t="n">
        <f aca="false">D1561*_xlfn.XLOOKUP(C1561,Item_Master!A:A,Item_Master!G:G)</f>
        <v>6380</v>
      </c>
      <c r="G1561" s="0" t="str">
        <f aca="false">TEXT(B1561,"MMM YYYY")</f>
        <v>Feb 2026</v>
      </c>
    </row>
    <row r="1562" customFormat="false" ht="15" hidden="false" customHeight="false" outlineLevel="0" collapsed="false">
      <c r="A1562" s="0" t="s">
        <v>3813</v>
      </c>
      <c r="B1562" s="4" t="n">
        <v>46071</v>
      </c>
      <c r="C1562" s="0" t="s">
        <v>627</v>
      </c>
      <c r="D1562" s="0" t="n">
        <v>25</v>
      </c>
      <c r="E1562" s="0" t="s">
        <v>3814</v>
      </c>
      <c r="F1562" s="3" t="n">
        <f aca="false">D1562*_xlfn.XLOOKUP(C1562,Item_Master!A:A,Item_Master!G:G)</f>
        <v>178750</v>
      </c>
      <c r="G1562" s="0" t="str">
        <f aca="false">TEXT(B1562,"MMM YYYY")</f>
        <v>Feb 2026</v>
      </c>
    </row>
    <row r="1563" customFormat="false" ht="15" hidden="false" customHeight="false" outlineLevel="0" collapsed="false">
      <c r="A1563" s="0" t="s">
        <v>3815</v>
      </c>
      <c r="B1563" s="4" t="n">
        <v>46071</v>
      </c>
      <c r="C1563" s="0" t="s">
        <v>688</v>
      </c>
      <c r="D1563" s="0" t="n">
        <v>1</v>
      </c>
      <c r="E1563" s="0" t="s">
        <v>3816</v>
      </c>
      <c r="F1563" s="3" t="n">
        <f aca="false">D1563*_xlfn.XLOOKUP(C1563,Item_Master!A:A,Item_Master!G:G)</f>
        <v>9740</v>
      </c>
      <c r="G1563" s="0" t="str">
        <f aca="false">TEXT(B1563,"MMM YYYY")</f>
        <v>Feb 2026</v>
      </c>
    </row>
    <row r="1564" customFormat="false" ht="15" hidden="false" customHeight="false" outlineLevel="0" collapsed="false">
      <c r="A1564" s="0" t="s">
        <v>3817</v>
      </c>
      <c r="B1564" s="4" t="n">
        <v>46072</v>
      </c>
      <c r="C1564" s="0" t="s">
        <v>37</v>
      </c>
      <c r="D1564" s="0" t="n">
        <v>4</v>
      </c>
      <c r="E1564" s="0" t="s">
        <v>3818</v>
      </c>
      <c r="F1564" s="3" t="n">
        <f aca="false">D1564*_xlfn.XLOOKUP(C1564,Item_Master!A:A,Item_Master!G:G)</f>
        <v>2160</v>
      </c>
      <c r="G1564" s="0" t="str">
        <f aca="false">TEXT(B1564,"MMM YYYY")</f>
        <v>Feb 2026</v>
      </c>
    </row>
    <row r="1565" customFormat="false" ht="15" hidden="false" customHeight="false" outlineLevel="0" collapsed="false">
      <c r="A1565" s="0" t="s">
        <v>3819</v>
      </c>
      <c r="B1565" s="4" t="n">
        <v>46072</v>
      </c>
      <c r="C1565" s="0" t="s">
        <v>68</v>
      </c>
      <c r="D1565" s="0" t="n">
        <v>8</v>
      </c>
      <c r="E1565" s="0" t="s">
        <v>3820</v>
      </c>
      <c r="F1565" s="3" t="n">
        <f aca="false">D1565*_xlfn.XLOOKUP(C1565,Item_Master!A:A,Item_Master!G:G)</f>
        <v>10800</v>
      </c>
      <c r="G1565" s="0" t="str">
        <f aca="false">TEXT(B1565,"MMM YYYY")</f>
        <v>Feb 2026</v>
      </c>
    </row>
    <row r="1566" customFormat="false" ht="15" hidden="false" customHeight="false" outlineLevel="0" collapsed="false">
      <c r="A1566" s="0" t="s">
        <v>3821</v>
      </c>
      <c r="B1566" s="4" t="n">
        <v>46072</v>
      </c>
      <c r="C1566" s="0" t="s">
        <v>77</v>
      </c>
      <c r="D1566" s="0" t="n">
        <v>31</v>
      </c>
      <c r="E1566" s="0" t="s">
        <v>3822</v>
      </c>
      <c r="F1566" s="3" t="n">
        <f aca="false">D1566*_xlfn.XLOOKUP(C1566,Item_Master!A:A,Item_Master!G:G)</f>
        <v>29450</v>
      </c>
      <c r="G1566" s="0" t="str">
        <f aca="false">TEXT(B1566,"MMM YYYY")</f>
        <v>Feb 2026</v>
      </c>
    </row>
    <row r="1567" customFormat="false" ht="15" hidden="false" customHeight="false" outlineLevel="0" collapsed="false">
      <c r="A1567" s="0" t="s">
        <v>3823</v>
      </c>
      <c r="B1567" s="4" t="n">
        <v>46072</v>
      </c>
      <c r="C1567" s="0" t="s">
        <v>217</v>
      </c>
      <c r="D1567" s="0" t="n">
        <v>23</v>
      </c>
      <c r="E1567" s="0" t="s">
        <v>3824</v>
      </c>
      <c r="F1567" s="3" t="n">
        <f aca="false">D1567*_xlfn.XLOOKUP(C1567,Item_Master!A:A,Item_Master!G:G)</f>
        <v>78890</v>
      </c>
      <c r="G1567" s="0" t="str">
        <f aca="false">TEXT(B1567,"MMM YYYY")</f>
        <v>Feb 2026</v>
      </c>
    </row>
    <row r="1568" customFormat="false" ht="15" hidden="false" customHeight="false" outlineLevel="0" collapsed="false">
      <c r="A1568" s="0" t="s">
        <v>3825</v>
      </c>
      <c r="B1568" s="4" t="n">
        <v>46072</v>
      </c>
      <c r="C1568" s="0" t="s">
        <v>366</v>
      </c>
      <c r="D1568" s="0" t="n">
        <v>12</v>
      </c>
      <c r="E1568" s="0" t="s">
        <v>3826</v>
      </c>
      <c r="F1568" s="3" t="n">
        <f aca="false">D1568*_xlfn.XLOOKUP(C1568,Item_Master!A:A,Item_Master!G:G)</f>
        <v>32760</v>
      </c>
      <c r="G1568" s="0" t="str">
        <f aca="false">TEXT(B1568,"MMM YYYY")</f>
        <v>Feb 2026</v>
      </c>
    </row>
    <row r="1569" customFormat="false" ht="15" hidden="false" customHeight="false" outlineLevel="0" collapsed="false">
      <c r="A1569" s="0" t="s">
        <v>3827</v>
      </c>
      <c r="B1569" s="4" t="n">
        <v>46072</v>
      </c>
      <c r="C1569" s="0" t="s">
        <v>394</v>
      </c>
      <c r="D1569" s="0" t="n">
        <v>18</v>
      </c>
      <c r="E1569" s="0" t="s">
        <v>3828</v>
      </c>
      <c r="F1569" s="3" t="n">
        <f aca="false">D1569*_xlfn.XLOOKUP(C1569,Item_Master!A:A,Item_Master!G:G)</f>
        <v>19080</v>
      </c>
      <c r="G1569" s="0" t="str">
        <f aca="false">TEXT(B1569,"MMM YYYY")</f>
        <v>Feb 2026</v>
      </c>
    </row>
    <row r="1570" customFormat="false" ht="15" hidden="false" customHeight="false" outlineLevel="0" collapsed="false">
      <c r="A1570" s="0" t="s">
        <v>3829</v>
      </c>
      <c r="B1570" s="4" t="n">
        <v>46072</v>
      </c>
      <c r="C1570" s="0" t="s">
        <v>461</v>
      </c>
      <c r="D1570" s="0" t="n">
        <v>8</v>
      </c>
      <c r="E1570" s="0" t="s">
        <v>3830</v>
      </c>
      <c r="F1570" s="3" t="n">
        <f aca="false">D1570*_xlfn.XLOOKUP(C1570,Item_Master!A:A,Item_Master!G:G)</f>
        <v>12240</v>
      </c>
      <c r="G1570" s="0" t="str">
        <f aca="false">TEXT(B1570,"MMM YYYY")</f>
        <v>Feb 2026</v>
      </c>
    </row>
    <row r="1571" customFormat="false" ht="15" hidden="false" customHeight="false" outlineLevel="0" collapsed="false">
      <c r="A1571" s="0" t="s">
        <v>3831</v>
      </c>
      <c r="B1571" s="4" t="n">
        <v>46072</v>
      </c>
      <c r="C1571" s="0" t="s">
        <v>464</v>
      </c>
      <c r="D1571" s="0" t="n">
        <v>1</v>
      </c>
      <c r="E1571" s="0" t="s">
        <v>3832</v>
      </c>
      <c r="F1571" s="3" t="n">
        <f aca="false">D1571*_xlfn.XLOOKUP(C1571,Item_Master!A:A,Item_Master!G:G)</f>
        <v>820</v>
      </c>
      <c r="G1571" s="0" t="str">
        <f aca="false">TEXT(B1571,"MMM YYYY")</f>
        <v>Feb 2026</v>
      </c>
    </row>
    <row r="1572" customFormat="false" ht="15" hidden="false" customHeight="false" outlineLevel="0" collapsed="false">
      <c r="A1572" s="0" t="s">
        <v>3833</v>
      </c>
      <c r="B1572" s="4" t="n">
        <v>46072</v>
      </c>
      <c r="C1572" s="0" t="s">
        <v>493</v>
      </c>
      <c r="D1572" s="0" t="n">
        <v>24</v>
      </c>
      <c r="E1572" s="0" t="s">
        <v>3834</v>
      </c>
      <c r="F1572" s="3" t="n">
        <f aca="false">D1572*_xlfn.XLOOKUP(C1572,Item_Master!A:A,Item_Master!G:G)</f>
        <v>11280</v>
      </c>
      <c r="G1572" s="0" t="str">
        <f aca="false">TEXT(B1572,"MMM YYYY")</f>
        <v>Feb 2026</v>
      </c>
    </row>
    <row r="1573" customFormat="false" ht="15" hidden="false" customHeight="false" outlineLevel="0" collapsed="false">
      <c r="A1573" s="0" t="s">
        <v>3835</v>
      </c>
      <c r="B1573" s="4" t="n">
        <v>46072</v>
      </c>
      <c r="C1573" s="0" t="s">
        <v>509</v>
      </c>
      <c r="D1573" s="0" t="n">
        <v>4</v>
      </c>
      <c r="E1573" s="0" t="s">
        <v>3836</v>
      </c>
      <c r="F1573" s="3" t="n">
        <f aca="false">D1573*_xlfn.XLOOKUP(C1573,Item_Master!A:A,Item_Master!G:G)</f>
        <v>1520</v>
      </c>
      <c r="G1573" s="0" t="str">
        <f aca="false">TEXT(B1573,"MMM YYYY")</f>
        <v>Feb 2026</v>
      </c>
    </row>
    <row r="1574" customFormat="false" ht="15" hidden="false" customHeight="false" outlineLevel="0" collapsed="false">
      <c r="A1574" s="0" t="s">
        <v>3837</v>
      </c>
      <c r="B1574" s="4" t="n">
        <v>46072</v>
      </c>
      <c r="C1574" s="0" t="s">
        <v>669</v>
      </c>
      <c r="D1574" s="0" t="n">
        <v>35</v>
      </c>
      <c r="E1574" s="0" t="s">
        <v>3838</v>
      </c>
      <c r="F1574" s="3" t="n">
        <f aca="false">D1574*_xlfn.XLOOKUP(C1574,Item_Master!A:A,Item_Master!G:G)</f>
        <v>82950</v>
      </c>
      <c r="G1574" s="0" t="str">
        <f aca="false">TEXT(B1574,"MMM YYYY")</f>
        <v>Feb 2026</v>
      </c>
    </row>
    <row r="1575" customFormat="false" ht="15" hidden="false" customHeight="false" outlineLevel="0" collapsed="false">
      <c r="A1575" s="0" t="s">
        <v>3839</v>
      </c>
      <c r="B1575" s="4" t="n">
        <v>46072</v>
      </c>
      <c r="C1575" s="0" t="s">
        <v>706</v>
      </c>
      <c r="D1575" s="0" t="n">
        <v>4</v>
      </c>
      <c r="E1575" s="0" t="s">
        <v>3840</v>
      </c>
      <c r="F1575" s="3" t="n">
        <f aca="false">D1575*_xlfn.XLOOKUP(C1575,Item_Master!A:A,Item_Master!G:G)</f>
        <v>4920</v>
      </c>
      <c r="G1575" s="0" t="str">
        <f aca="false">TEXT(B1575,"MMM YYYY")</f>
        <v>Feb 2026</v>
      </c>
    </row>
    <row r="1576" customFormat="false" ht="15" hidden="false" customHeight="false" outlineLevel="0" collapsed="false">
      <c r="A1576" s="0" t="s">
        <v>3841</v>
      </c>
      <c r="B1576" s="4" t="n">
        <v>46073</v>
      </c>
      <c r="C1576" s="0" t="s">
        <v>98</v>
      </c>
      <c r="D1576" s="0" t="n">
        <v>17</v>
      </c>
      <c r="E1576" s="0" t="s">
        <v>3842</v>
      </c>
      <c r="F1576" s="3" t="n">
        <f aca="false">D1576*_xlfn.XLOOKUP(C1576,Item_Master!A:A,Item_Master!G:G)</f>
        <v>16830</v>
      </c>
      <c r="G1576" s="0" t="str">
        <f aca="false">TEXT(B1576,"MMM YYYY")</f>
        <v>Feb 2026</v>
      </c>
    </row>
    <row r="1577" customFormat="false" ht="15" hidden="false" customHeight="false" outlineLevel="0" collapsed="false">
      <c r="A1577" s="0" t="s">
        <v>3843</v>
      </c>
      <c r="B1577" s="4" t="n">
        <v>46073</v>
      </c>
      <c r="C1577" s="0" t="s">
        <v>105</v>
      </c>
      <c r="D1577" s="0" t="n">
        <v>24</v>
      </c>
      <c r="E1577" s="0" t="s">
        <v>3844</v>
      </c>
      <c r="F1577" s="3" t="n">
        <f aca="false">D1577*_xlfn.XLOOKUP(C1577,Item_Master!A:A,Item_Master!G:G)</f>
        <v>329280</v>
      </c>
      <c r="G1577" s="0" t="str">
        <f aca="false">TEXT(B1577,"MMM YYYY")</f>
        <v>Feb 2026</v>
      </c>
    </row>
    <row r="1578" customFormat="false" ht="15" hidden="false" customHeight="false" outlineLevel="0" collapsed="false">
      <c r="A1578" s="0" t="s">
        <v>3845</v>
      </c>
      <c r="B1578" s="4" t="n">
        <v>46073</v>
      </c>
      <c r="C1578" s="0" t="s">
        <v>163</v>
      </c>
      <c r="D1578" s="0" t="n">
        <v>4</v>
      </c>
      <c r="E1578" s="0" t="s">
        <v>3846</v>
      </c>
      <c r="F1578" s="3" t="n">
        <f aca="false">D1578*_xlfn.XLOOKUP(C1578,Item_Master!A:A,Item_Master!G:G)</f>
        <v>74920</v>
      </c>
      <c r="G1578" s="0" t="str">
        <f aca="false">TEXT(B1578,"MMM YYYY")</f>
        <v>Feb 2026</v>
      </c>
    </row>
    <row r="1579" customFormat="false" ht="15" hidden="false" customHeight="false" outlineLevel="0" collapsed="false">
      <c r="A1579" s="0" t="s">
        <v>3847</v>
      </c>
      <c r="B1579" s="4" t="n">
        <v>46073</v>
      </c>
      <c r="C1579" s="0" t="s">
        <v>308</v>
      </c>
      <c r="D1579" s="0" t="n">
        <v>37</v>
      </c>
      <c r="E1579" s="0" t="s">
        <v>3848</v>
      </c>
      <c r="F1579" s="3" t="n">
        <f aca="false">D1579*_xlfn.XLOOKUP(C1579,Item_Master!A:A,Item_Master!G:G)</f>
        <v>7030</v>
      </c>
      <c r="G1579" s="0" t="str">
        <f aca="false">TEXT(B1579,"MMM YYYY")</f>
        <v>Feb 2026</v>
      </c>
    </row>
    <row r="1580" customFormat="false" ht="15" hidden="false" customHeight="false" outlineLevel="0" collapsed="false">
      <c r="A1580" s="0" t="s">
        <v>3849</v>
      </c>
      <c r="B1580" s="4" t="n">
        <v>46073</v>
      </c>
      <c r="C1580" s="0" t="s">
        <v>403</v>
      </c>
      <c r="D1580" s="0" t="n">
        <v>4</v>
      </c>
      <c r="E1580" s="0" t="s">
        <v>3850</v>
      </c>
      <c r="F1580" s="3" t="n">
        <f aca="false">D1580*_xlfn.XLOOKUP(C1580,Item_Master!A:A,Item_Master!G:G)</f>
        <v>15640</v>
      </c>
      <c r="G1580" s="0" t="str">
        <f aca="false">TEXT(B1580,"MMM YYYY")</f>
        <v>Feb 2026</v>
      </c>
    </row>
    <row r="1581" customFormat="false" ht="15" hidden="false" customHeight="false" outlineLevel="0" collapsed="false">
      <c r="A1581" s="0" t="s">
        <v>3851</v>
      </c>
      <c r="B1581" s="4" t="n">
        <v>46073</v>
      </c>
      <c r="C1581" s="0" t="s">
        <v>533</v>
      </c>
      <c r="D1581" s="0" t="n">
        <v>13</v>
      </c>
      <c r="E1581" s="0" t="s">
        <v>3852</v>
      </c>
      <c r="F1581" s="3" t="n">
        <f aca="false">D1581*_xlfn.XLOOKUP(C1581,Item_Master!A:A,Item_Master!G:G)</f>
        <v>22360</v>
      </c>
      <c r="G1581" s="0" t="str">
        <f aca="false">TEXT(B1581,"MMM YYYY")</f>
        <v>Feb 2026</v>
      </c>
    </row>
    <row r="1582" customFormat="false" ht="15" hidden="false" customHeight="false" outlineLevel="0" collapsed="false">
      <c r="A1582" s="0" t="s">
        <v>3853</v>
      </c>
      <c r="B1582" s="4" t="n">
        <v>46073</v>
      </c>
      <c r="C1582" s="0" t="s">
        <v>569</v>
      </c>
      <c r="D1582" s="0" t="n">
        <v>1</v>
      </c>
      <c r="E1582" s="0" t="s">
        <v>3854</v>
      </c>
      <c r="F1582" s="3" t="n">
        <f aca="false">D1582*_xlfn.XLOOKUP(C1582,Item_Master!A:A,Item_Master!G:G)</f>
        <v>1780</v>
      </c>
      <c r="G1582" s="0" t="str">
        <f aca="false">TEXT(B1582,"MMM YYYY")</f>
        <v>Feb 2026</v>
      </c>
    </row>
    <row r="1583" customFormat="false" ht="15" hidden="false" customHeight="false" outlineLevel="0" collapsed="false">
      <c r="A1583" s="0" t="s">
        <v>3855</v>
      </c>
      <c r="B1583" s="4" t="n">
        <v>46074</v>
      </c>
      <c r="C1583" s="0" t="s">
        <v>176</v>
      </c>
      <c r="D1583" s="0" t="n">
        <v>5</v>
      </c>
      <c r="E1583" s="0" t="s">
        <v>3856</v>
      </c>
      <c r="F1583" s="3" t="n">
        <f aca="false">D1583*_xlfn.XLOOKUP(C1583,Item_Master!A:A,Item_Master!G:G)</f>
        <v>88000</v>
      </c>
      <c r="G1583" s="0" t="str">
        <f aca="false">TEXT(B1583,"MMM YYYY")</f>
        <v>Feb 2026</v>
      </c>
    </row>
    <row r="1584" customFormat="false" ht="15" hidden="false" customHeight="false" outlineLevel="0" collapsed="false">
      <c r="A1584" s="0" t="s">
        <v>3857</v>
      </c>
      <c r="B1584" s="4" t="n">
        <v>46074</v>
      </c>
      <c r="C1584" s="0" t="s">
        <v>180</v>
      </c>
      <c r="D1584" s="0" t="n">
        <v>1</v>
      </c>
      <c r="E1584" s="0" t="s">
        <v>3858</v>
      </c>
      <c r="F1584" s="3" t="n">
        <f aca="false">D1584*_xlfn.XLOOKUP(C1584,Item_Master!A:A,Item_Master!G:G)</f>
        <v>9560</v>
      </c>
      <c r="G1584" s="0" t="str">
        <f aca="false">TEXT(B1584,"MMM YYYY")</f>
        <v>Feb 2026</v>
      </c>
    </row>
    <row r="1585" customFormat="false" ht="15" hidden="false" customHeight="false" outlineLevel="0" collapsed="false">
      <c r="A1585" s="0" t="s">
        <v>3859</v>
      </c>
      <c r="B1585" s="4" t="n">
        <v>46074</v>
      </c>
      <c r="C1585" s="0" t="s">
        <v>245</v>
      </c>
      <c r="D1585" s="0" t="n">
        <v>30</v>
      </c>
      <c r="E1585" s="0" t="s">
        <v>3860</v>
      </c>
      <c r="F1585" s="3" t="n">
        <f aca="false">D1585*_xlfn.XLOOKUP(C1585,Item_Master!A:A,Item_Master!G:G)</f>
        <v>68400</v>
      </c>
      <c r="G1585" s="0" t="str">
        <f aca="false">TEXT(B1585,"MMM YYYY")</f>
        <v>Feb 2026</v>
      </c>
    </row>
    <row r="1586" customFormat="false" ht="15" hidden="false" customHeight="false" outlineLevel="0" collapsed="false">
      <c r="A1586" s="0" t="s">
        <v>3861</v>
      </c>
      <c r="B1586" s="4" t="n">
        <v>46074</v>
      </c>
      <c r="C1586" s="0" t="s">
        <v>255</v>
      </c>
      <c r="D1586" s="0" t="n">
        <v>15</v>
      </c>
      <c r="E1586" s="0" t="s">
        <v>3862</v>
      </c>
      <c r="F1586" s="3" t="n">
        <f aca="false">D1586*_xlfn.XLOOKUP(C1586,Item_Master!A:A,Item_Master!G:G)</f>
        <v>234750</v>
      </c>
      <c r="G1586" s="0" t="str">
        <f aca="false">TEXT(B1586,"MMM YYYY")</f>
        <v>Feb 2026</v>
      </c>
    </row>
    <row r="1587" customFormat="false" ht="15" hidden="false" customHeight="false" outlineLevel="0" collapsed="false">
      <c r="A1587" s="0" t="s">
        <v>3863</v>
      </c>
      <c r="B1587" s="4" t="n">
        <v>46074</v>
      </c>
      <c r="C1587" s="0" t="s">
        <v>279</v>
      </c>
      <c r="D1587" s="0" t="n">
        <v>4</v>
      </c>
      <c r="E1587" s="0" t="s">
        <v>3864</v>
      </c>
      <c r="F1587" s="3" t="n">
        <f aca="false">D1587*_xlfn.XLOOKUP(C1587,Item_Master!A:A,Item_Master!G:G)</f>
        <v>51880</v>
      </c>
      <c r="G1587" s="0" t="str">
        <f aca="false">TEXT(B1587,"MMM YYYY")</f>
        <v>Feb 2026</v>
      </c>
    </row>
    <row r="1588" customFormat="false" ht="15" hidden="false" customHeight="false" outlineLevel="0" collapsed="false">
      <c r="A1588" s="0" t="s">
        <v>3865</v>
      </c>
      <c r="B1588" s="4" t="n">
        <v>46074</v>
      </c>
      <c r="C1588" s="0" t="s">
        <v>378</v>
      </c>
      <c r="D1588" s="0" t="n">
        <v>38</v>
      </c>
      <c r="E1588" s="0" t="s">
        <v>3866</v>
      </c>
      <c r="F1588" s="3" t="n">
        <f aca="false">D1588*_xlfn.XLOOKUP(C1588,Item_Master!A:A,Item_Master!G:G)</f>
        <v>69160</v>
      </c>
      <c r="G1588" s="0" t="str">
        <f aca="false">TEXT(B1588,"MMM YYYY")</f>
        <v>Feb 2026</v>
      </c>
    </row>
    <row r="1589" customFormat="false" ht="15" hidden="false" customHeight="false" outlineLevel="0" collapsed="false">
      <c r="A1589" s="0" t="s">
        <v>3867</v>
      </c>
      <c r="B1589" s="4" t="n">
        <v>46074</v>
      </c>
      <c r="C1589" s="0" t="s">
        <v>407</v>
      </c>
      <c r="D1589" s="0" t="n">
        <v>35</v>
      </c>
      <c r="E1589" s="0" t="s">
        <v>3868</v>
      </c>
      <c r="F1589" s="3" t="n">
        <f aca="false">D1589*_xlfn.XLOOKUP(C1589,Item_Master!A:A,Item_Master!G:G)</f>
        <v>7350</v>
      </c>
      <c r="G1589" s="0" t="str">
        <f aca="false">TEXT(B1589,"MMM YYYY")</f>
        <v>Feb 2026</v>
      </c>
    </row>
    <row r="1590" customFormat="false" ht="15" hidden="false" customHeight="false" outlineLevel="0" collapsed="false">
      <c r="A1590" s="0" t="s">
        <v>3869</v>
      </c>
      <c r="B1590" s="4" t="n">
        <v>46074</v>
      </c>
      <c r="C1590" s="0" t="s">
        <v>411</v>
      </c>
      <c r="D1590" s="0" t="n">
        <v>31</v>
      </c>
      <c r="E1590" s="0" t="s">
        <v>3870</v>
      </c>
      <c r="F1590" s="3" t="n">
        <f aca="false">D1590*_xlfn.XLOOKUP(C1590,Item_Master!A:A,Item_Master!G:G)</f>
        <v>424390</v>
      </c>
      <c r="G1590" s="0" t="str">
        <f aca="false">TEXT(B1590,"MMM YYYY")</f>
        <v>Feb 2026</v>
      </c>
    </row>
    <row r="1591" customFormat="false" ht="15" hidden="false" customHeight="false" outlineLevel="0" collapsed="false">
      <c r="A1591" s="0" t="s">
        <v>3871</v>
      </c>
      <c r="B1591" s="4" t="n">
        <v>46074</v>
      </c>
      <c r="C1591" s="0" t="s">
        <v>573</v>
      </c>
      <c r="D1591" s="0" t="n">
        <v>19</v>
      </c>
      <c r="E1591" s="0" t="s">
        <v>3872</v>
      </c>
      <c r="F1591" s="3" t="n">
        <f aca="false">D1591*_xlfn.XLOOKUP(C1591,Item_Master!A:A,Item_Master!G:G)</f>
        <v>38950</v>
      </c>
      <c r="G1591" s="0" t="str">
        <f aca="false">TEXT(B1591,"MMM YYYY")</f>
        <v>Feb 2026</v>
      </c>
    </row>
    <row r="1592" customFormat="false" ht="15" hidden="false" customHeight="false" outlineLevel="0" collapsed="false">
      <c r="A1592" s="0" t="s">
        <v>3873</v>
      </c>
      <c r="B1592" s="4" t="n">
        <v>46074</v>
      </c>
      <c r="C1592" s="0" t="s">
        <v>643</v>
      </c>
      <c r="D1592" s="0" t="n">
        <v>38</v>
      </c>
      <c r="E1592" s="0" t="s">
        <v>3874</v>
      </c>
      <c r="F1592" s="3" t="n">
        <f aca="false">D1592*_xlfn.XLOOKUP(C1592,Item_Master!A:A,Item_Master!G:G)</f>
        <v>53200</v>
      </c>
      <c r="G1592" s="0" t="str">
        <f aca="false">TEXT(B1592,"MMM YYYY")</f>
        <v>Feb 2026</v>
      </c>
    </row>
    <row r="1593" customFormat="false" ht="15" hidden="false" customHeight="false" outlineLevel="0" collapsed="false">
      <c r="A1593" s="0" t="s">
        <v>3875</v>
      </c>
      <c r="B1593" s="4" t="n">
        <v>46074</v>
      </c>
      <c r="C1593" s="0" t="s">
        <v>648</v>
      </c>
      <c r="D1593" s="0" t="n">
        <v>2</v>
      </c>
      <c r="E1593" s="0" t="s">
        <v>3876</v>
      </c>
      <c r="F1593" s="3" t="n">
        <f aca="false">D1593*_xlfn.XLOOKUP(C1593,Item_Master!A:A,Item_Master!G:G)</f>
        <v>46500</v>
      </c>
      <c r="G1593" s="0" t="str">
        <f aca="false">TEXT(B1593,"MMM YYYY")</f>
        <v>Feb 2026</v>
      </c>
    </row>
    <row r="1594" customFormat="false" ht="15" hidden="false" customHeight="false" outlineLevel="0" collapsed="false">
      <c r="A1594" s="0" t="s">
        <v>3877</v>
      </c>
      <c r="B1594" s="4" t="n">
        <v>46074</v>
      </c>
      <c r="C1594" s="0" t="s">
        <v>654</v>
      </c>
      <c r="D1594" s="0" t="n">
        <v>14</v>
      </c>
      <c r="E1594" s="0" t="s">
        <v>3878</v>
      </c>
      <c r="F1594" s="3" t="n">
        <f aca="false">D1594*_xlfn.XLOOKUP(C1594,Item_Master!A:A,Item_Master!G:G)</f>
        <v>25200</v>
      </c>
      <c r="G1594" s="0" t="str">
        <f aca="false">TEXT(B1594,"MMM YYYY")</f>
        <v>Feb 2026</v>
      </c>
    </row>
    <row r="1595" customFormat="false" ht="15" hidden="false" customHeight="false" outlineLevel="0" collapsed="false">
      <c r="A1595" s="0" t="s">
        <v>3879</v>
      </c>
      <c r="B1595" s="4" t="n">
        <v>46074</v>
      </c>
      <c r="C1595" s="0" t="s">
        <v>659</v>
      </c>
      <c r="D1595" s="0" t="n">
        <v>11</v>
      </c>
      <c r="E1595" s="0" t="s">
        <v>3880</v>
      </c>
      <c r="F1595" s="3" t="n">
        <f aca="false">D1595*_xlfn.XLOOKUP(C1595,Item_Master!A:A,Item_Master!G:G)</f>
        <v>38170</v>
      </c>
      <c r="G1595" s="0" t="str">
        <f aca="false">TEXT(B1595,"MMM YYYY")</f>
        <v>Feb 2026</v>
      </c>
    </row>
    <row r="1596" customFormat="false" ht="15" hidden="false" customHeight="false" outlineLevel="0" collapsed="false">
      <c r="A1596" s="0" t="s">
        <v>3881</v>
      </c>
      <c r="B1596" s="4" t="n">
        <v>46074</v>
      </c>
      <c r="C1596" s="0" t="s">
        <v>684</v>
      </c>
      <c r="D1596" s="0" t="n">
        <v>31</v>
      </c>
      <c r="E1596" s="0" t="s">
        <v>3882</v>
      </c>
      <c r="F1596" s="3" t="n">
        <f aca="false">D1596*_xlfn.XLOOKUP(C1596,Item_Master!A:A,Item_Master!G:G)</f>
        <v>88040</v>
      </c>
      <c r="G1596" s="0" t="str">
        <f aca="false">TEXT(B1596,"MMM YYYY")</f>
        <v>Feb 2026</v>
      </c>
    </row>
    <row r="1597" customFormat="false" ht="15" hidden="false" customHeight="false" outlineLevel="0" collapsed="false">
      <c r="A1597" s="0" t="s">
        <v>3883</v>
      </c>
      <c r="B1597" s="4" t="n">
        <v>46075</v>
      </c>
      <c r="C1597" s="0" t="s">
        <v>163</v>
      </c>
      <c r="D1597" s="0" t="n">
        <v>3</v>
      </c>
      <c r="E1597" s="0" t="s">
        <v>3884</v>
      </c>
      <c r="F1597" s="3" t="n">
        <f aca="false">D1597*_xlfn.XLOOKUP(C1597,Item_Master!A:A,Item_Master!G:G)</f>
        <v>56190</v>
      </c>
      <c r="G1597" s="0" t="str">
        <f aca="false">TEXT(B1597,"MMM YYYY")</f>
        <v>Feb 2026</v>
      </c>
    </row>
    <row r="1598" customFormat="false" ht="15" hidden="false" customHeight="false" outlineLevel="0" collapsed="false">
      <c r="A1598" s="0" t="s">
        <v>3885</v>
      </c>
      <c r="B1598" s="4" t="n">
        <v>46075</v>
      </c>
      <c r="C1598" s="0" t="s">
        <v>289</v>
      </c>
      <c r="D1598" s="0" t="n">
        <v>5</v>
      </c>
      <c r="E1598" s="0" t="s">
        <v>3886</v>
      </c>
      <c r="F1598" s="3" t="n">
        <f aca="false">D1598*_xlfn.XLOOKUP(C1598,Item_Master!A:A,Item_Master!G:G)</f>
        <v>15000</v>
      </c>
      <c r="G1598" s="0" t="str">
        <f aca="false">TEXT(B1598,"MMM YYYY")</f>
        <v>Feb 2026</v>
      </c>
    </row>
    <row r="1599" customFormat="false" ht="15" hidden="false" customHeight="false" outlineLevel="0" collapsed="false">
      <c r="A1599" s="0" t="s">
        <v>3887</v>
      </c>
      <c r="B1599" s="4" t="n">
        <v>46075</v>
      </c>
      <c r="C1599" s="0" t="s">
        <v>343</v>
      </c>
      <c r="D1599" s="0" t="n">
        <v>4</v>
      </c>
      <c r="E1599" s="0" t="s">
        <v>3888</v>
      </c>
      <c r="F1599" s="3" t="n">
        <f aca="false">D1599*_xlfn.XLOOKUP(C1599,Item_Master!A:A,Item_Master!G:G)</f>
        <v>7000</v>
      </c>
      <c r="G1599" s="0" t="str">
        <f aca="false">TEXT(B1599,"MMM YYYY")</f>
        <v>Feb 2026</v>
      </c>
    </row>
    <row r="1600" customFormat="false" ht="15" hidden="false" customHeight="false" outlineLevel="0" collapsed="false">
      <c r="A1600" s="0" t="s">
        <v>3889</v>
      </c>
      <c r="B1600" s="4" t="n">
        <v>46075</v>
      </c>
      <c r="C1600" s="0" t="s">
        <v>567</v>
      </c>
      <c r="D1600" s="0" t="n">
        <v>38</v>
      </c>
      <c r="E1600" s="0" t="s">
        <v>3890</v>
      </c>
      <c r="F1600" s="3" t="n">
        <f aca="false">D1600*_xlfn.XLOOKUP(C1600,Item_Master!A:A,Item_Master!G:G)</f>
        <v>33820</v>
      </c>
      <c r="G1600" s="0" t="str">
        <f aca="false">TEXT(B1600,"MMM YYYY")</f>
        <v>Feb 2026</v>
      </c>
    </row>
    <row r="1601" customFormat="false" ht="15" hidden="false" customHeight="false" outlineLevel="0" collapsed="false">
      <c r="A1601" s="0" t="s">
        <v>3891</v>
      </c>
      <c r="B1601" s="4" t="n">
        <v>46075</v>
      </c>
      <c r="C1601" s="0" t="s">
        <v>594</v>
      </c>
      <c r="D1601" s="0" t="n">
        <v>3</v>
      </c>
      <c r="E1601" s="0" t="s">
        <v>3892</v>
      </c>
      <c r="F1601" s="3" t="n">
        <f aca="false">D1601*_xlfn.XLOOKUP(C1601,Item_Master!A:A,Item_Master!G:G)</f>
        <v>7620</v>
      </c>
      <c r="G1601" s="0" t="str">
        <f aca="false">TEXT(B1601,"MMM YYYY")</f>
        <v>Feb 2026</v>
      </c>
    </row>
    <row r="1602" customFormat="false" ht="15" hidden="false" customHeight="false" outlineLevel="0" collapsed="false">
      <c r="A1602" s="0" t="s">
        <v>3893</v>
      </c>
      <c r="B1602" s="4" t="n">
        <v>46076</v>
      </c>
      <c r="C1602" s="0" t="s">
        <v>44</v>
      </c>
      <c r="D1602" s="0" t="n">
        <v>5</v>
      </c>
      <c r="E1602" s="0" t="s">
        <v>3894</v>
      </c>
      <c r="F1602" s="3" t="n">
        <f aca="false">D1602*_xlfn.XLOOKUP(C1602,Item_Master!A:A,Item_Master!G:G)</f>
        <v>8150</v>
      </c>
      <c r="G1602" s="0" t="str">
        <f aca="false">TEXT(B1602,"MMM YYYY")</f>
        <v>Feb 2026</v>
      </c>
    </row>
    <row r="1603" customFormat="false" ht="15" hidden="false" customHeight="false" outlineLevel="0" collapsed="false">
      <c r="A1603" s="0" t="s">
        <v>3895</v>
      </c>
      <c r="B1603" s="4" t="n">
        <v>46076</v>
      </c>
      <c r="C1603" s="0" t="s">
        <v>47</v>
      </c>
      <c r="D1603" s="0" t="n">
        <v>16</v>
      </c>
      <c r="E1603" s="0" t="s">
        <v>3896</v>
      </c>
      <c r="F1603" s="3" t="n">
        <f aca="false">D1603*_xlfn.XLOOKUP(C1603,Item_Master!A:A,Item_Master!G:G)</f>
        <v>4800</v>
      </c>
      <c r="G1603" s="0" t="str">
        <f aca="false">TEXT(B1603,"MMM YYYY")</f>
        <v>Feb 2026</v>
      </c>
    </row>
    <row r="1604" customFormat="false" ht="15" hidden="false" customHeight="false" outlineLevel="0" collapsed="false">
      <c r="A1604" s="0" t="s">
        <v>3897</v>
      </c>
      <c r="B1604" s="4" t="n">
        <v>46076</v>
      </c>
      <c r="C1604" s="0" t="s">
        <v>81</v>
      </c>
      <c r="D1604" s="0" t="n">
        <v>6</v>
      </c>
      <c r="E1604" s="0" t="s">
        <v>3898</v>
      </c>
      <c r="F1604" s="3" t="n">
        <f aca="false">D1604*_xlfn.XLOOKUP(C1604,Item_Master!A:A,Item_Master!G:G)</f>
        <v>16920</v>
      </c>
      <c r="G1604" s="0" t="str">
        <f aca="false">TEXT(B1604,"MMM YYYY")</f>
        <v>Feb 2026</v>
      </c>
    </row>
    <row r="1605" customFormat="false" ht="15" hidden="false" customHeight="false" outlineLevel="0" collapsed="false">
      <c r="A1605" s="0" t="s">
        <v>3899</v>
      </c>
      <c r="B1605" s="4" t="n">
        <v>46076</v>
      </c>
      <c r="C1605" s="0" t="s">
        <v>160</v>
      </c>
      <c r="D1605" s="0" t="n">
        <v>13</v>
      </c>
      <c r="E1605" s="0" t="s">
        <v>3900</v>
      </c>
      <c r="F1605" s="3" t="n">
        <f aca="false">D1605*_xlfn.XLOOKUP(C1605,Item_Master!A:A,Item_Master!G:G)</f>
        <v>10010</v>
      </c>
      <c r="G1605" s="0" t="str">
        <f aca="false">TEXT(B1605,"MMM YYYY")</f>
        <v>Feb 2026</v>
      </c>
    </row>
    <row r="1606" customFormat="false" ht="15" hidden="false" customHeight="false" outlineLevel="0" collapsed="false">
      <c r="A1606" s="0" t="s">
        <v>3901</v>
      </c>
      <c r="B1606" s="4" t="n">
        <v>46076</v>
      </c>
      <c r="C1606" s="0" t="s">
        <v>221</v>
      </c>
      <c r="D1606" s="0" t="n">
        <v>5</v>
      </c>
      <c r="E1606" s="0" t="s">
        <v>3902</v>
      </c>
      <c r="F1606" s="3" t="n">
        <f aca="false">D1606*_xlfn.XLOOKUP(C1606,Item_Master!A:A,Item_Master!G:G)</f>
        <v>7850</v>
      </c>
      <c r="G1606" s="0" t="str">
        <f aca="false">TEXT(B1606,"MMM YYYY")</f>
        <v>Feb 2026</v>
      </c>
    </row>
    <row r="1607" customFormat="false" ht="15" hidden="false" customHeight="false" outlineLevel="0" collapsed="false">
      <c r="A1607" s="0" t="s">
        <v>3903</v>
      </c>
      <c r="B1607" s="4" t="n">
        <v>46076</v>
      </c>
      <c r="C1607" s="0" t="s">
        <v>232</v>
      </c>
      <c r="D1607" s="0" t="n">
        <v>39</v>
      </c>
      <c r="E1607" s="0" t="s">
        <v>3904</v>
      </c>
      <c r="F1607" s="3" t="n">
        <f aca="false">D1607*_xlfn.XLOOKUP(C1607,Item_Master!A:A,Item_Master!G:G)</f>
        <v>133380</v>
      </c>
      <c r="G1607" s="0" t="str">
        <f aca="false">TEXT(B1607,"MMM YYYY")</f>
        <v>Feb 2026</v>
      </c>
    </row>
    <row r="1608" customFormat="false" ht="15" hidden="false" customHeight="false" outlineLevel="0" collapsed="false">
      <c r="A1608" s="0" t="s">
        <v>3905</v>
      </c>
      <c r="B1608" s="4" t="n">
        <v>46076</v>
      </c>
      <c r="C1608" s="0" t="s">
        <v>318</v>
      </c>
      <c r="D1608" s="0" t="n">
        <v>4</v>
      </c>
      <c r="E1608" s="0" t="s">
        <v>3906</v>
      </c>
      <c r="F1608" s="3" t="n">
        <f aca="false">D1608*_xlfn.XLOOKUP(C1608,Item_Master!A:A,Item_Master!G:G)</f>
        <v>6600</v>
      </c>
      <c r="G1608" s="0" t="str">
        <f aca="false">TEXT(B1608,"MMM YYYY")</f>
        <v>Feb 2026</v>
      </c>
    </row>
    <row r="1609" customFormat="false" ht="15" hidden="false" customHeight="false" outlineLevel="0" collapsed="false">
      <c r="A1609" s="0" t="s">
        <v>3907</v>
      </c>
      <c r="B1609" s="4" t="n">
        <v>46076</v>
      </c>
      <c r="C1609" s="0" t="s">
        <v>387</v>
      </c>
      <c r="D1609" s="0" t="n">
        <v>10</v>
      </c>
      <c r="E1609" s="0" t="s">
        <v>3908</v>
      </c>
      <c r="F1609" s="3" t="n">
        <f aca="false">D1609*_xlfn.XLOOKUP(C1609,Item_Master!A:A,Item_Master!G:G)</f>
        <v>10700</v>
      </c>
      <c r="G1609" s="0" t="str">
        <f aca="false">TEXT(B1609,"MMM YYYY")</f>
        <v>Feb 2026</v>
      </c>
    </row>
    <row r="1610" customFormat="false" ht="15" hidden="false" customHeight="false" outlineLevel="0" collapsed="false">
      <c r="A1610" s="0" t="s">
        <v>3909</v>
      </c>
      <c r="B1610" s="4" t="n">
        <v>46076</v>
      </c>
      <c r="C1610" s="0" t="s">
        <v>503</v>
      </c>
      <c r="D1610" s="0" t="n">
        <v>4</v>
      </c>
      <c r="E1610" s="0" t="s">
        <v>3910</v>
      </c>
      <c r="F1610" s="3" t="n">
        <f aca="false">D1610*_xlfn.XLOOKUP(C1610,Item_Master!A:A,Item_Master!G:G)</f>
        <v>10720</v>
      </c>
      <c r="G1610" s="0" t="str">
        <f aca="false">TEXT(B1610,"MMM YYYY")</f>
        <v>Feb 2026</v>
      </c>
    </row>
    <row r="1611" customFormat="false" ht="15" hidden="false" customHeight="false" outlineLevel="0" collapsed="false">
      <c r="A1611" s="0" t="s">
        <v>3911</v>
      </c>
      <c r="B1611" s="4" t="n">
        <v>46076</v>
      </c>
      <c r="C1611" s="0" t="s">
        <v>525</v>
      </c>
      <c r="D1611" s="0" t="n">
        <v>39</v>
      </c>
      <c r="E1611" s="0" t="s">
        <v>3912</v>
      </c>
      <c r="F1611" s="3" t="n">
        <f aca="false">D1611*_xlfn.XLOOKUP(C1611,Item_Master!A:A,Item_Master!G:G)</f>
        <v>298740</v>
      </c>
      <c r="G1611" s="0" t="str">
        <f aca="false">TEXT(B1611,"MMM YYYY")</f>
        <v>Feb 2026</v>
      </c>
    </row>
    <row r="1612" customFormat="false" ht="15" hidden="false" customHeight="false" outlineLevel="0" collapsed="false">
      <c r="A1612" s="0" t="s">
        <v>3913</v>
      </c>
      <c r="B1612" s="4" t="n">
        <v>46076</v>
      </c>
      <c r="C1612" s="0" t="s">
        <v>661</v>
      </c>
      <c r="D1612" s="0" t="n">
        <v>33</v>
      </c>
      <c r="E1612" s="0" t="s">
        <v>3914</v>
      </c>
      <c r="F1612" s="3" t="n">
        <f aca="false">D1612*_xlfn.XLOOKUP(C1612,Item_Master!A:A,Item_Master!G:G)</f>
        <v>113850</v>
      </c>
      <c r="G1612" s="0" t="str">
        <f aca="false">TEXT(B1612,"MMM YYYY")</f>
        <v>Feb 2026</v>
      </c>
    </row>
    <row r="1613" customFormat="false" ht="15" hidden="false" customHeight="false" outlineLevel="0" collapsed="false">
      <c r="A1613" s="0" t="s">
        <v>3915</v>
      </c>
      <c r="B1613" s="4" t="n">
        <v>46077</v>
      </c>
      <c r="C1613" s="0" t="s">
        <v>189</v>
      </c>
      <c r="D1613" s="0" t="n">
        <v>33</v>
      </c>
      <c r="E1613" s="0" t="s">
        <v>3916</v>
      </c>
      <c r="F1613" s="3" t="n">
        <f aca="false">D1613*_xlfn.XLOOKUP(C1613,Item_Master!A:A,Item_Master!G:G)</f>
        <v>159060</v>
      </c>
      <c r="G1613" s="0" t="str">
        <f aca="false">TEXT(B1613,"MMM YYYY")</f>
        <v>Feb 2026</v>
      </c>
    </row>
    <row r="1614" customFormat="false" ht="15" hidden="false" customHeight="false" outlineLevel="0" collapsed="false">
      <c r="A1614" s="0" t="s">
        <v>3917</v>
      </c>
      <c r="B1614" s="4" t="n">
        <v>46077</v>
      </c>
      <c r="C1614" s="0" t="s">
        <v>198</v>
      </c>
      <c r="D1614" s="0" t="n">
        <v>11</v>
      </c>
      <c r="E1614" s="0" t="s">
        <v>3918</v>
      </c>
      <c r="F1614" s="3" t="n">
        <f aca="false">D1614*_xlfn.XLOOKUP(C1614,Item_Master!A:A,Item_Master!G:G)</f>
        <v>115390</v>
      </c>
      <c r="G1614" s="0" t="str">
        <f aca="false">TEXT(B1614,"MMM YYYY")</f>
        <v>Feb 2026</v>
      </c>
    </row>
    <row r="1615" customFormat="false" ht="15" hidden="false" customHeight="false" outlineLevel="0" collapsed="false">
      <c r="A1615" s="0" t="s">
        <v>3919</v>
      </c>
      <c r="B1615" s="4" t="n">
        <v>46077</v>
      </c>
      <c r="C1615" s="0" t="s">
        <v>219</v>
      </c>
      <c r="D1615" s="0" t="n">
        <v>3</v>
      </c>
      <c r="E1615" s="0" t="s">
        <v>3920</v>
      </c>
      <c r="F1615" s="3" t="n">
        <f aca="false">D1615*_xlfn.XLOOKUP(C1615,Item_Master!A:A,Item_Master!G:G)</f>
        <v>3660</v>
      </c>
      <c r="G1615" s="0" t="str">
        <f aca="false">TEXT(B1615,"MMM YYYY")</f>
        <v>Feb 2026</v>
      </c>
    </row>
    <row r="1616" customFormat="false" ht="15" hidden="false" customHeight="false" outlineLevel="0" collapsed="false">
      <c r="A1616" s="0" t="s">
        <v>3921</v>
      </c>
      <c r="B1616" s="4" t="n">
        <v>46077</v>
      </c>
      <c r="C1616" s="0" t="s">
        <v>221</v>
      </c>
      <c r="D1616" s="0" t="n">
        <v>27</v>
      </c>
      <c r="E1616" s="0" t="s">
        <v>3922</v>
      </c>
      <c r="F1616" s="3" t="n">
        <f aca="false">D1616*_xlfn.XLOOKUP(C1616,Item_Master!A:A,Item_Master!G:G)</f>
        <v>42390</v>
      </c>
      <c r="G1616" s="0" t="str">
        <f aca="false">TEXT(B1616,"MMM YYYY")</f>
        <v>Feb 2026</v>
      </c>
    </row>
    <row r="1617" customFormat="false" ht="15" hidden="false" customHeight="false" outlineLevel="0" collapsed="false">
      <c r="A1617" s="0" t="s">
        <v>3923</v>
      </c>
      <c r="B1617" s="4" t="n">
        <v>46077</v>
      </c>
      <c r="C1617" s="0" t="s">
        <v>243</v>
      </c>
      <c r="D1617" s="0" t="n">
        <v>12</v>
      </c>
      <c r="E1617" s="0" t="s">
        <v>3924</v>
      </c>
      <c r="F1617" s="3" t="n">
        <f aca="false">D1617*_xlfn.XLOOKUP(C1617,Item_Master!A:A,Item_Master!G:G)</f>
        <v>14040</v>
      </c>
      <c r="G1617" s="0" t="str">
        <f aca="false">TEXT(B1617,"MMM YYYY")</f>
        <v>Feb 2026</v>
      </c>
    </row>
    <row r="1618" customFormat="false" ht="15" hidden="false" customHeight="false" outlineLevel="0" collapsed="false">
      <c r="A1618" s="0" t="s">
        <v>3925</v>
      </c>
      <c r="B1618" s="4" t="n">
        <v>46077</v>
      </c>
      <c r="C1618" s="0" t="s">
        <v>322</v>
      </c>
      <c r="D1618" s="0" t="n">
        <v>23</v>
      </c>
      <c r="E1618" s="0" t="s">
        <v>3926</v>
      </c>
      <c r="F1618" s="3" t="n">
        <f aca="false">D1618*_xlfn.XLOOKUP(C1618,Item_Master!A:A,Item_Master!G:G)</f>
        <v>50370</v>
      </c>
      <c r="G1618" s="0" t="str">
        <f aca="false">TEXT(B1618,"MMM YYYY")</f>
        <v>Feb 2026</v>
      </c>
    </row>
    <row r="1619" customFormat="false" ht="15" hidden="false" customHeight="false" outlineLevel="0" collapsed="false">
      <c r="A1619" s="0" t="s">
        <v>3927</v>
      </c>
      <c r="B1619" s="4" t="n">
        <v>46077</v>
      </c>
      <c r="C1619" s="0" t="s">
        <v>391</v>
      </c>
      <c r="D1619" s="0" t="n">
        <v>11</v>
      </c>
      <c r="E1619" s="0" t="s">
        <v>3928</v>
      </c>
      <c r="F1619" s="3" t="n">
        <f aca="false">D1619*_xlfn.XLOOKUP(C1619,Item_Master!A:A,Item_Master!G:G)</f>
        <v>15290</v>
      </c>
      <c r="G1619" s="0" t="str">
        <f aca="false">TEXT(B1619,"MMM YYYY")</f>
        <v>Feb 2026</v>
      </c>
    </row>
    <row r="1620" customFormat="false" ht="15" hidden="false" customHeight="false" outlineLevel="0" collapsed="false">
      <c r="A1620" s="0" t="s">
        <v>3929</v>
      </c>
      <c r="B1620" s="4" t="n">
        <v>46077</v>
      </c>
      <c r="C1620" s="0" t="s">
        <v>426</v>
      </c>
      <c r="D1620" s="0" t="n">
        <v>4</v>
      </c>
      <c r="E1620" s="0" t="s">
        <v>3930</v>
      </c>
      <c r="F1620" s="3" t="n">
        <f aca="false">D1620*_xlfn.XLOOKUP(C1620,Item_Master!A:A,Item_Master!G:G)</f>
        <v>10680</v>
      </c>
      <c r="G1620" s="0" t="str">
        <f aca="false">TEXT(B1620,"MMM YYYY")</f>
        <v>Feb 2026</v>
      </c>
    </row>
    <row r="1621" customFormat="false" ht="15" hidden="false" customHeight="false" outlineLevel="0" collapsed="false">
      <c r="A1621" s="0" t="s">
        <v>3931</v>
      </c>
      <c r="B1621" s="4" t="n">
        <v>46077</v>
      </c>
      <c r="C1621" s="0" t="s">
        <v>490</v>
      </c>
      <c r="D1621" s="0" t="n">
        <v>5</v>
      </c>
      <c r="E1621" s="0" t="s">
        <v>3932</v>
      </c>
      <c r="F1621" s="3" t="n">
        <f aca="false">D1621*_xlfn.XLOOKUP(C1621,Item_Master!A:A,Item_Master!G:G)</f>
        <v>22100</v>
      </c>
      <c r="G1621" s="0" t="str">
        <f aca="false">TEXT(B1621,"MMM YYYY")</f>
        <v>Feb 2026</v>
      </c>
    </row>
    <row r="1622" customFormat="false" ht="15" hidden="false" customHeight="false" outlineLevel="0" collapsed="false">
      <c r="A1622" s="0" t="s">
        <v>3933</v>
      </c>
      <c r="B1622" s="4" t="n">
        <v>46077</v>
      </c>
      <c r="C1622" s="0" t="s">
        <v>509</v>
      </c>
      <c r="D1622" s="0" t="n">
        <v>8</v>
      </c>
      <c r="E1622" s="0" t="s">
        <v>3934</v>
      </c>
      <c r="F1622" s="3" t="n">
        <f aca="false">D1622*_xlfn.XLOOKUP(C1622,Item_Master!A:A,Item_Master!G:G)</f>
        <v>3040</v>
      </c>
      <c r="G1622" s="0" t="str">
        <f aca="false">TEXT(B1622,"MMM YYYY")</f>
        <v>Feb 2026</v>
      </c>
    </row>
    <row r="1623" customFormat="false" ht="15" hidden="false" customHeight="false" outlineLevel="0" collapsed="false">
      <c r="A1623" s="0" t="s">
        <v>3935</v>
      </c>
      <c r="B1623" s="4" t="n">
        <v>46077</v>
      </c>
      <c r="C1623" s="0" t="s">
        <v>559</v>
      </c>
      <c r="D1623" s="0" t="n">
        <v>30</v>
      </c>
      <c r="E1623" s="0" t="s">
        <v>3936</v>
      </c>
      <c r="F1623" s="3" t="n">
        <f aca="false">D1623*_xlfn.XLOOKUP(C1623,Item_Master!A:A,Item_Master!G:G)</f>
        <v>266100</v>
      </c>
      <c r="G1623" s="0" t="str">
        <f aca="false">TEXT(B1623,"MMM YYYY")</f>
        <v>Feb 2026</v>
      </c>
    </row>
    <row r="1624" customFormat="false" ht="15" hidden="false" customHeight="false" outlineLevel="0" collapsed="false">
      <c r="A1624" s="0" t="s">
        <v>3937</v>
      </c>
      <c r="B1624" s="4" t="n">
        <v>46077</v>
      </c>
      <c r="C1624" s="0" t="s">
        <v>612</v>
      </c>
      <c r="D1624" s="0" t="n">
        <v>25</v>
      </c>
      <c r="E1624" s="0" t="s">
        <v>3938</v>
      </c>
      <c r="F1624" s="3" t="n">
        <f aca="false">D1624*_xlfn.XLOOKUP(C1624,Item_Master!A:A,Item_Master!G:G)</f>
        <v>64750</v>
      </c>
      <c r="G1624" s="0" t="str">
        <f aca="false">TEXT(B1624,"MMM YYYY")</f>
        <v>Feb 2026</v>
      </c>
    </row>
    <row r="1625" customFormat="false" ht="15" hidden="false" customHeight="false" outlineLevel="0" collapsed="false">
      <c r="A1625" s="0" t="s">
        <v>3939</v>
      </c>
      <c r="B1625" s="4" t="n">
        <v>46077</v>
      </c>
      <c r="C1625" s="0" t="s">
        <v>616</v>
      </c>
      <c r="D1625" s="0" t="n">
        <v>3</v>
      </c>
      <c r="E1625" s="0" t="s">
        <v>3940</v>
      </c>
      <c r="F1625" s="3" t="n">
        <f aca="false">D1625*_xlfn.XLOOKUP(C1625,Item_Master!A:A,Item_Master!G:G)</f>
        <v>11280</v>
      </c>
      <c r="G1625" s="0" t="str">
        <f aca="false">TEXT(B1625,"MMM YYYY")</f>
        <v>Feb 2026</v>
      </c>
    </row>
    <row r="1626" customFormat="false" ht="15" hidden="false" customHeight="false" outlineLevel="0" collapsed="false">
      <c r="A1626" s="0" t="s">
        <v>3941</v>
      </c>
      <c r="B1626" s="4" t="n">
        <v>46077</v>
      </c>
      <c r="C1626" s="0" t="s">
        <v>694</v>
      </c>
      <c r="D1626" s="0" t="n">
        <v>26</v>
      </c>
      <c r="E1626" s="0" t="s">
        <v>3942</v>
      </c>
      <c r="F1626" s="3" t="n">
        <f aca="false">D1626*_xlfn.XLOOKUP(C1626,Item_Master!A:A,Item_Master!G:G)</f>
        <v>647660</v>
      </c>
      <c r="G1626" s="0" t="str">
        <f aca="false">TEXT(B1626,"MMM YYYY")</f>
        <v>Feb 2026</v>
      </c>
    </row>
    <row r="1627" customFormat="false" ht="15" hidden="false" customHeight="false" outlineLevel="0" collapsed="false">
      <c r="A1627" s="0" t="s">
        <v>3943</v>
      </c>
      <c r="B1627" s="4" t="n">
        <v>46078</v>
      </c>
      <c r="C1627" s="0" t="s">
        <v>123</v>
      </c>
      <c r="D1627" s="0" t="n">
        <v>20</v>
      </c>
      <c r="E1627" s="0" t="s">
        <v>3944</v>
      </c>
      <c r="F1627" s="3" t="n">
        <f aca="false">D1627*_xlfn.XLOOKUP(C1627,Item_Master!A:A,Item_Master!G:G)</f>
        <v>294200</v>
      </c>
      <c r="G1627" s="0" t="str">
        <f aca="false">TEXT(B1627,"MMM YYYY")</f>
        <v>Feb 2026</v>
      </c>
    </row>
    <row r="1628" customFormat="false" ht="15" hidden="false" customHeight="false" outlineLevel="0" collapsed="false">
      <c r="A1628" s="0" t="s">
        <v>3945</v>
      </c>
      <c r="B1628" s="4" t="n">
        <v>46078</v>
      </c>
      <c r="C1628" s="0" t="s">
        <v>156</v>
      </c>
      <c r="D1628" s="0" t="n">
        <v>1</v>
      </c>
      <c r="E1628" s="0" t="s">
        <v>3946</v>
      </c>
      <c r="F1628" s="3" t="n">
        <f aca="false">D1628*_xlfn.XLOOKUP(C1628,Item_Master!A:A,Item_Master!G:G)</f>
        <v>3000</v>
      </c>
      <c r="G1628" s="0" t="str">
        <f aca="false">TEXT(B1628,"MMM YYYY")</f>
        <v>Feb 2026</v>
      </c>
    </row>
    <row r="1629" customFormat="false" ht="15" hidden="false" customHeight="false" outlineLevel="0" collapsed="false">
      <c r="A1629" s="0" t="s">
        <v>3947</v>
      </c>
      <c r="B1629" s="4" t="n">
        <v>46078</v>
      </c>
      <c r="C1629" s="0" t="s">
        <v>200</v>
      </c>
      <c r="D1629" s="0" t="n">
        <v>2</v>
      </c>
      <c r="E1629" s="0" t="s">
        <v>3948</v>
      </c>
      <c r="F1629" s="3" t="n">
        <f aca="false">D1629*_xlfn.XLOOKUP(C1629,Item_Master!A:A,Item_Master!G:G)</f>
        <v>2080</v>
      </c>
      <c r="G1629" s="0" t="str">
        <f aca="false">TEXT(B1629,"MMM YYYY")</f>
        <v>Feb 2026</v>
      </c>
    </row>
    <row r="1630" customFormat="false" ht="15" hidden="false" customHeight="false" outlineLevel="0" collapsed="false">
      <c r="A1630" s="0" t="s">
        <v>3949</v>
      </c>
      <c r="B1630" s="4" t="n">
        <v>46078</v>
      </c>
      <c r="C1630" s="0" t="s">
        <v>384</v>
      </c>
      <c r="D1630" s="0" t="n">
        <v>36</v>
      </c>
      <c r="E1630" s="0" t="s">
        <v>3950</v>
      </c>
      <c r="F1630" s="3" t="n">
        <f aca="false">D1630*_xlfn.XLOOKUP(C1630,Item_Master!A:A,Item_Master!G:G)</f>
        <v>59400</v>
      </c>
      <c r="G1630" s="0" t="str">
        <f aca="false">TEXT(B1630,"MMM YYYY")</f>
        <v>Feb 2026</v>
      </c>
    </row>
    <row r="1631" customFormat="false" ht="15" hidden="false" customHeight="false" outlineLevel="0" collapsed="false">
      <c r="A1631" s="0" t="s">
        <v>3951</v>
      </c>
      <c r="B1631" s="4" t="n">
        <v>46078</v>
      </c>
      <c r="C1631" s="0" t="s">
        <v>470</v>
      </c>
      <c r="D1631" s="0" t="n">
        <v>23</v>
      </c>
      <c r="E1631" s="0" t="s">
        <v>3952</v>
      </c>
      <c r="F1631" s="3" t="n">
        <f aca="false">D1631*_xlfn.XLOOKUP(C1631,Item_Master!A:A,Item_Master!G:G)</f>
        <v>31510</v>
      </c>
      <c r="G1631" s="0" t="str">
        <f aca="false">TEXT(B1631,"MMM YYYY")</f>
        <v>Feb 2026</v>
      </c>
    </row>
    <row r="1632" customFormat="false" ht="15" hidden="false" customHeight="false" outlineLevel="0" collapsed="false">
      <c r="A1632" s="0" t="s">
        <v>3953</v>
      </c>
      <c r="B1632" s="4" t="n">
        <v>46078</v>
      </c>
      <c r="C1632" s="0" t="s">
        <v>518</v>
      </c>
      <c r="D1632" s="0" t="n">
        <v>40</v>
      </c>
      <c r="E1632" s="0" t="s">
        <v>3954</v>
      </c>
      <c r="F1632" s="3" t="n">
        <f aca="false">D1632*_xlfn.XLOOKUP(C1632,Item_Master!A:A,Item_Master!G:G)</f>
        <v>131600</v>
      </c>
      <c r="G1632" s="0" t="str">
        <f aca="false">TEXT(B1632,"MMM YYYY")</f>
        <v>Feb 2026</v>
      </c>
    </row>
    <row r="1633" customFormat="false" ht="15" hidden="false" customHeight="false" outlineLevel="0" collapsed="false">
      <c r="A1633" s="0" t="s">
        <v>3955</v>
      </c>
      <c r="B1633" s="4" t="n">
        <v>46078</v>
      </c>
      <c r="C1633" s="0" t="s">
        <v>545</v>
      </c>
      <c r="D1633" s="0" t="n">
        <v>18</v>
      </c>
      <c r="E1633" s="0" t="s">
        <v>3956</v>
      </c>
      <c r="F1633" s="3" t="n">
        <f aca="false">D1633*_xlfn.XLOOKUP(C1633,Item_Master!A:A,Item_Master!G:G)</f>
        <v>24660</v>
      </c>
      <c r="G1633" s="0" t="str">
        <f aca="false">TEXT(B1633,"MMM YYYY")</f>
        <v>Feb 2026</v>
      </c>
    </row>
    <row r="1634" customFormat="false" ht="15" hidden="false" customHeight="false" outlineLevel="0" collapsed="false">
      <c r="A1634" s="0" t="s">
        <v>3957</v>
      </c>
      <c r="B1634" s="4" t="n">
        <v>46078</v>
      </c>
      <c r="C1634" s="0" t="s">
        <v>561</v>
      </c>
      <c r="D1634" s="0" t="n">
        <v>9</v>
      </c>
      <c r="E1634" s="0" t="s">
        <v>3958</v>
      </c>
      <c r="F1634" s="3" t="n">
        <f aca="false">D1634*_xlfn.XLOOKUP(C1634,Item_Master!A:A,Item_Master!G:G)</f>
        <v>16200</v>
      </c>
      <c r="G1634" s="0" t="str">
        <f aca="false">TEXT(B1634,"MMM YYYY")</f>
        <v>Feb 2026</v>
      </c>
    </row>
    <row r="1635" customFormat="false" ht="15" hidden="false" customHeight="false" outlineLevel="0" collapsed="false">
      <c r="A1635" s="0" t="s">
        <v>3959</v>
      </c>
      <c r="B1635" s="4" t="n">
        <v>46078</v>
      </c>
      <c r="C1635" s="0" t="s">
        <v>671</v>
      </c>
      <c r="D1635" s="0" t="n">
        <v>15</v>
      </c>
      <c r="E1635" s="0" t="s">
        <v>3960</v>
      </c>
      <c r="F1635" s="3" t="n">
        <f aca="false">D1635*_xlfn.XLOOKUP(C1635,Item_Master!A:A,Item_Master!G:G)</f>
        <v>33600</v>
      </c>
      <c r="G1635" s="0" t="str">
        <f aca="false">TEXT(B1635,"MMM YYYY")</f>
        <v>Feb 2026</v>
      </c>
    </row>
    <row r="1636" customFormat="false" ht="15" hidden="false" customHeight="false" outlineLevel="0" collapsed="false">
      <c r="A1636" s="0" t="s">
        <v>3961</v>
      </c>
      <c r="B1636" s="4" t="n">
        <v>46079</v>
      </c>
      <c r="C1636" s="0" t="s">
        <v>235</v>
      </c>
      <c r="D1636" s="0" t="n">
        <v>30</v>
      </c>
      <c r="E1636" s="0" t="s">
        <v>3962</v>
      </c>
      <c r="F1636" s="3" t="n">
        <f aca="false">D1636*_xlfn.XLOOKUP(C1636,Item_Master!A:A,Item_Master!G:G)</f>
        <v>72000</v>
      </c>
      <c r="G1636" s="0" t="str">
        <f aca="false">TEXT(B1636,"MMM YYYY")</f>
        <v>Feb 2026</v>
      </c>
    </row>
    <row r="1637" customFormat="false" ht="15" hidden="false" customHeight="false" outlineLevel="0" collapsed="false">
      <c r="A1637" s="0" t="s">
        <v>3963</v>
      </c>
      <c r="B1637" s="4" t="n">
        <v>46079</v>
      </c>
      <c r="C1637" s="0" t="s">
        <v>283</v>
      </c>
      <c r="D1637" s="0" t="n">
        <v>15</v>
      </c>
      <c r="E1637" s="0" t="s">
        <v>3964</v>
      </c>
      <c r="F1637" s="3" t="n">
        <f aca="false">D1637*_xlfn.XLOOKUP(C1637,Item_Master!A:A,Item_Master!G:G)</f>
        <v>284550</v>
      </c>
      <c r="G1637" s="0" t="str">
        <f aca="false">TEXT(B1637,"MMM YYYY")</f>
        <v>Feb 2026</v>
      </c>
    </row>
    <row r="1638" customFormat="false" ht="15" hidden="false" customHeight="false" outlineLevel="0" collapsed="false">
      <c r="A1638" s="0" t="s">
        <v>3965</v>
      </c>
      <c r="B1638" s="4" t="n">
        <v>46079</v>
      </c>
      <c r="C1638" s="0" t="s">
        <v>318</v>
      </c>
      <c r="D1638" s="0" t="n">
        <v>2</v>
      </c>
      <c r="E1638" s="0" t="s">
        <v>3966</v>
      </c>
      <c r="F1638" s="3" t="n">
        <f aca="false">D1638*_xlfn.XLOOKUP(C1638,Item_Master!A:A,Item_Master!G:G)</f>
        <v>3300</v>
      </c>
      <c r="G1638" s="0" t="str">
        <f aca="false">TEXT(B1638,"MMM YYYY")</f>
        <v>Feb 2026</v>
      </c>
    </row>
    <row r="1639" customFormat="false" ht="15" hidden="false" customHeight="false" outlineLevel="0" collapsed="false">
      <c r="A1639" s="0" t="s">
        <v>3967</v>
      </c>
      <c r="B1639" s="4" t="n">
        <v>46079</v>
      </c>
      <c r="C1639" s="0" t="s">
        <v>389</v>
      </c>
      <c r="D1639" s="0" t="n">
        <v>20</v>
      </c>
      <c r="E1639" s="0" t="s">
        <v>3968</v>
      </c>
      <c r="F1639" s="3" t="n">
        <f aca="false">D1639*_xlfn.XLOOKUP(C1639,Item_Master!A:A,Item_Master!G:G)</f>
        <v>39400</v>
      </c>
      <c r="G1639" s="0" t="str">
        <f aca="false">TEXT(B1639,"MMM YYYY")</f>
        <v>Feb 2026</v>
      </c>
    </row>
    <row r="1640" customFormat="false" ht="15" hidden="false" customHeight="false" outlineLevel="0" collapsed="false">
      <c r="A1640" s="0" t="s">
        <v>3969</v>
      </c>
      <c r="B1640" s="4" t="n">
        <v>46079</v>
      </c>
      <c r="C1640" s="0" t="s">
        <v>448</v>
      </c>
      <c r="D1640" s="0" t="n">
        <v>33</v>
      </c>
      <c r="E1640" s="0" t="s">
        <v>3970</v>
      </c>
      <c r="F1640" s="3" t="n">
        <f aca="false">D1640*_xlfn.XLOOKUP(C1640,Item_Master!A:A,Item_Master!G:G)</f>
        <v>11220</v>
      </c>
      <c r="G1640" s="0" t="str">
        <f aca="false">TEXT(B1640,"MMM YYYY")</f>
        <v>Feb 2026</v>
      </c>
    </row>
    <row r="1641" customFormat="false" ht="15" hidden="false" customHeight="false" outlineLevel="0" collapsed="false">
      <c r="A1641" s="0" t="s">
        <v>3971</v>
      </c>
      <c r="B1641" s="4" t="n">
        <v>46079</v>
      </c>
      <c r="C1641" s="0" t="s">
        <v>473</v>
      </c>
      <c r="D1641" s="0" t="n">
        <v>12</v>
      </c>
      <c r="E1641" s="0" t="s">
        <v>3972</v>
      </c>
      <c r="F1641" s="3" t="n">
        <f aca="false">D1641*_xlfn.XLOOKUP(C1641,Item_Master!A:A,Item_Master!G:G)</f>
        <v>2280</v>
      </c>
      <c r="G1641" s="0" t="str">
        <f aca="false">TEXT(B1641,"MMM YYYY")</f>
        <v>Feb 2026</v>
      </c>
    </row>
    <row r="1642" customFormat="false" ht="15" hidden="false" customHeight="false" outlineLevel="0" collapsed="false">
      <c r="A1642" s="0" t="s">
        <v>3973</v>
      </c>
      <c r="B1642" s="4" t="n">
        <v>46080</v>
      </c>
      <c r="C1642" s="0" t="s">
        <v>75</v>
      </c>
      <c r="D1642" s="0" t="n">
        <v>1</v>
      </c>
      <c r="E1642" s="0" t="s">
        <v>3974</v>
      </c>
      <c r="F1642" s="3" t="n">
        <f aca="false">D1642*_xlfn.XLOOKUP(C1642,Item_Master!A:A,Item_Master!G:G)</f>
        <v>2340</v>
      </c>
      <c r="G1642" s="0" t="str">
        <f aca="false">TEXT(B1642,"MMM YYYY")</f>
        <v>Feb 2026</v>
      </c>
    </row>
    <row r="1643" customFormat="false" ht="15" hidden="false" customHeight="false" outlineLevel="0" collapsed="false">
      <c r="A1643" s="0" t="s">
        <v>3975</v>
      </c>
      <c r="B1643" s="4" t="n">
        <v>46080</v>
      </c>
      <c r="C1643" s="0" t="s">
        <v>98</v>
      </c>
      <c r="D1643" s="0" t="n">
        <v>34</v>
      </c>
      <c r="E1643" s="0" t="s">
        <v>3976</v>
      </c>
      <c r="F1643" s="3" t="n">
        <f aca="false">D1643*_xlfn.XLOOKUP(C1643,Item_Master!A:A,Item_Master!G:G)</f>
        <v>33660</v>
      </c>
      <c r="G1643" s="0" t="str">
        <f aca="false">TEXT(B1643,"MMM YYYY")</f>
        <v>Feb 2026</v>
      </c>
    </row>
    <row r="1644" customFormat="false" ht="15" hidden="false" customHeight="false" outlineLevel="0" collapsed="false">
      <c r="A1644" s="0" t="s">
        <v>3977</v>
      </c>
      <c r="B1644" s="4" t="n">
        <v>46080</v>
      </c>
      <c r="C1644" s="0" t="s">
        <v>103</v>
      </c>
      <c r="D1644" s="0" t="n">
        <v>3</v>
      </c>
      <c r="E1644" s="0" t="s">
        <v>3978</v>
      </c>
      <c r="F1644" s="3" t="n">
        <f aca="false">D1644*_xlfn.XLOOKUP(C1644,Item_Master!A:A,Item_Master!G:G)</f>
        <v>5400</v>
      </c>
      <c r="G1644" s="0" t="str">
        <f aca="false">TEXT(B1644,"MMM YYYY")</f>
        <v>Feb 2026</v>
      </c>
    </row>
    <row r="1645" customFormat="false" ht="15" hidden="false" customHeight="false" outlineLevel="0" collapsed="false">
      <c r="A1645" s="0" t="s">
        <v>3979</v>
      </c>
      <c r="B1645" s="4" t="n">
        <v>46080</v>
      </c>
      <c r="C1645" s="0" t="s">
        <v>235</v>
      </c>
      <c r="D1645" s="0" t="n">
        <v>8</v>
      </c>
      <c r="E1645" s="0" t="s">
        <v>3980</v>
      </c>
      <c r="F1645" s="3" t="n">
        <f aca="false">D1645*_xlfn.XLOOKUP(C1645,Item_Master!A:A,Item_Master!G:G)</f>
        <v>19200</v>
      </c>
      <c r="G1645" s="0" t="str">
        <f aca="false">TEXT(B1645,"MMM YYYY")</f>
        <v>Feb 2026</v>
      </c>
    </row>
    <row r="1646" customFormat="false" ht="15" hidden="false" customHeight="false" outlineLevel="0" collapsed="false">
      <c r="A1646" s="0" t="s">
        <v>3981</v>
      </c>
      <c r="B1646" s="4" t="n">
        <v>46080</v>
      </c>
      <c r="C1646" s="0" t="s">
        <v>262</v>
      </c>
      <c r="D1646" s="0" t="n">
        <v>19</v>
      </c>
      <c r="E1646" s="0" t="s">
        <v>3982</v>
      </c>
      <c r="F1646" s="3" t="n">
        <f aca="false">D1646*_xlfn.XLOOKUP(C1646,Item_Master!A:A,Item_Master!G:G)</f>
        <v>41610</v>
      </c>
      <c r="G1646" s="0" t="str">
        <f aca="false">TEXT(B1646,"MMM YYYY")</f>
        <v>Feb 2026</v>
      </c>
    </row>
    <row r="1647" customFormat="false" ht="15" hidden="false" customHeight="false" outlineLevel="0" collapsed="false">
      <c r="A1647" s="0" t="s">
        <v>3983</v>
      </c>
      <c r="B1647" s="4" t="n">
        <v>46080</v>
      </c>
      <c r="C1647" s="0" t="s">
        <v>413</v>
      </c>
      <c r="D1647" s="0" t="n">
        <v>28</v>
      </c>
      <c r="E1647" s="0" t="s">
        <v>3984</v>
      </c>
      <c r="F1647" s="3" t="n">
        <f aca="false">D1647*_xlfn.XLOOKUP(C1647,Item_Master!A:A,Item_Master!G:G)</f>
        <v>33320</v>
      </c>
      <c r="G1647" s="0" t="str">
        <f aca="false">TEXT(B1647,"MMM YYYY")</f>
        <v>Feb 2026</v>
      </c>
    </row>
    <row r="1648" customFormat="false" ht="15" hidden="false" customHeight="false" outlineLevel="0" collapsed="false">
      <c r="A1648" s="0" t="s">
        <v>3985</v>
      </c>
      <c r="B1648" s="4" t="n">
        <v>46080</v>
      </c>
      <c r="C1648" s="0" t="s">
        <v>588</v>
      </c>
      <c r="D1648" s="0" t="n">
        <v>37</v>
      </c>
      <c r="E1648" s="0" t="s">
        <v>3986</v>
      </c>
      <c r="F1648" s="3" t="n">
        <f aca="false">D1648*_xlfn.XLOOKUP(C1648,Item_Master!A:A,Item_Master!G:G)</f>
        <v>113590</v>
      </c>
      <c r="G1648" s="0" t="str">
        <f aca="false">TEXT(B1648,"MMM YYYY")</f>
        <v>Feb 2026</v>
      </c>
    </row>
    <row r="1649" customFormat="false" ht="15" hidden="false" customHeight="false" outlineLevel="0" collapsed="false">
      <c r="A1649" s="0" t="s">
        <v>3987</v>
      </c>
      <c r="B1649" s="4" t="n">
        <v>46080</v>
      </c>
      <c r="C1649" s="0" t="s">
        <v>626</v>
      </c>
      <c r="D1649" s="0" t="n">
        <v>14</v>
      </c>
      <c r="E1649" s="0" t="s">
        <v>3988</v>
      </c>
      <c r="F1649" s="3" t="n">
        <f aca="false">D1649*_xlfn.XLOOKUP(C1649,Item_Master!A:A,Item_Master!G:G)</f>
        <v>4620</v>
      </c>
      <c r="G1649" s="0" t="str">
        <f aca="false">TEXT(B1649,"MMM YYYY")</f>
        <v>Feb 2026</v>
      </c>
    </row>
    <row r="1650" customFormat="false" ht="15" hidden="false" customHeight="false" outlineLevel="0" collapsed="false">
      <c r="A1650" s="0" t="s">
        <v>3989</v>
      </c>
      <c r="B1650" s="4" t="n">
        <v>46080</v>
      </c>
      <c r="C1650" s="0" t="s">
        <v>676</v>
      </c>
      <c r="D1650" s="0" t="n">
        <v>37</v>
      </c>
      <c r="E1650" s="0" t="s">
        <v>3990</v>
      </c>
      <c r="F1650" s="3" t="n">
        <f aca="false">D1650*_xlfn.XLOOKUP(C1650,Item_Master!A:A,Item_Master!G:G)</f>
        <v>81400</v>
      </c>
      <c r="G1650" s="0" t="str">
        <f aca="false">TEXT(B1650,"MMM YYYY")</f>
        <v>Feb 2026</v>
      </c>
    </row>
    <row r="1651" customFormat="false" ht="15" hidden="false" customHeight="false" outlineLevel="0" collapsed="false">
      <c r="A1651" s="0" t="s">
        <v>3991</v>
      </c>
      <c r="B1651" s="4" t="n">
        <v>46080</v>
      </c>
      <c r="C1651" s="0" t="s">
        <v>676</v>
      </c>
      <c r="D1651" s="0" t="n">
        <v>21</v>
      </c>
      <c r="E1651" s="0" t="s">
        <v>3992</v>
      </c>
      <c r="F1651" s="3" t="n">
        <f aca="false">D1651*_xlfn.XLOOKUP(C1651,Item_Master!A:A,Item_Master!G:G)</f>
        <v>46200</v>
      </c>
      <c r="G1651" s="0" t="str">
        <f aca="false">TEXT(B1651,"MMM YYYY")</f>
        <v>Feb 2026</v>
      </c>
    </row>
    <row r="1652" customFormat="false" ht="15" hidden="false" customHeight="false" outlineLevel="0" collapsed="false">
      <c r="A1652" s="0" t="s">
        <v>3993</v>
      </c>
      <c r="B1652" s="4" t="n">
        <v>46081</v>
      </c>
      <c r="C1652" s="0" t="s">
        <v>202</v>
      </c>
      <c r="D1652" s="0" t="n">
        <v>34</v>
      </c>
      <c r="E1652" s="0" t="s">
        <v>3994</v>
      </c>
      <c r="F1652" s="3" t="n">
        <f aca="false">D1652*_xlfn.XLOOKUP(C1652,Item_Master!A:A,Item_Master!G:G)</f>
        <v>55420</v>
      </c>
      <c r="G1652" s="0" t="str">
        <f aca="false">TEXT(B1652,"MMM YYYY")</f>
        <v>Feb 2026</v>
      </c>
    </row>
    <row r="1653" customFormat="false" ht="15" hidden="false" customHeight="false" outlineLevel="0" collapsed="false">
      <c r="A1653" s="0" t="s">
        <v>3995</v>
      </c>
      <c r="B1653" s="4" t="n">
        <v>46081</v>
      </c>
      <c r="C1653" s="0" t="s">
        <v>225</v>
      </c>
      <c r="D1653" s="0" t="n">
        <v>40</v>
      </c>
      <c r="E1653" s="0" t="s">
        <v>3996</v>
      </c>
      <c r="F1653" s="3" t="n">
        <f aca="false">D1653*_xlfn.XLOOKUP(C1653,Item_Master!A:A,Item_Master!G:G)</f>
        <v>16000</v>
      </c>
      <c r="G1653" s="0" t="str">
        <f aca="false">TEXT(B1653,"MMM YYYY")</f>
        <v>Feb 2026</v>
      </c>
    </row>
    <row r="1654" customFormat="false" ht="15" hidden="false" customHeight="false" outlineLevel="0" collapsed="false">
      <c r="A1654" s="0" t="s">
        <v>3997</v>
      </c>
      <c r="B1654" s="4" t="n">
        <v>46081</v>
      </c>
      <c r="C1654" s="0" t="s">
        <v>257</v>
      </c>
      <c r="D1654" s="0" t="n">
        <v>20</v>
      </c>
      <c r="E1654" s="0" t="s">
        <v>3998</v>
      </c>
      <c r="F1654" s="3" t="n">
        <f aca="false">D1654*_xlfn.XLOOKUP(C1654,Item_Master!A:A,Item_Master!G:G)</f>
        <v>10000</v>
      </c>
      <c r="G1654" s="0" t="str">
        <f aca="false">TEXT(B1654,"MMM YYYY")</f>
        <v>Feb 2026</v>
      </c>
    </row>
    <row r="1655" customFormat="false" ht="15" hidden="false" customHeight="false" outlineLevel="0" collapsed="false">
      <c r="A1655" s="0" t="s">
        <v>3999</v>
      </c>
      <c r="B1655" s="4" t="n">
        <v>46081</v>
      </c>
      <c r="C1655" s="0" t="s">
        <v>353</v>
      </c>
      <c r="D1655" s="0" t="n">
        <v>15</v>
      </c>
      <c r="E1655" s="0" t="s">
        <v>4000</v>
      </c>
      <c r="F1655" s="3" t="n">
        <f aca="false">D1655*_xlfn.XLOOKUP(C1655,Item_Master!A:A,Item_Master!G:G)</f>
        <v>6300</v>
      </c>
      <c r="G1655" s="0" t="str">
        <f aca="false">TEXT(B1655,"MMM YYYY")</f>
        <v>Feb 2026</v>
      </c>
    </row>
    <row r="1656" customFormat="false" ht="15" hidden="false" customHeight="false" outlineLevel="0" collapsed="false">
      <c r="A1656" s="0" t="s">
        <v>4001</v>
      </c>
      <c r="B1656" s="4" t="n">
        <v>46081</v>
      </c>
      <c r="C1656" s="0" t="s">
        <v>359</v>
      </c>
      <c r="D1656" s="0" t="n">
        <v>35</v>
      </c>
      <c r="E1656" s="0" t="s">
        <v>4002</v>
      </c>
      <c r="F1656" s="3" t="n">
        <f aca="false">D1656*_xlfn.XLOOKUP(C1656,Item_Master!A:A,Item_Master!G:G)</f>
        <v>19250</v>
      </c>
      <c r="G1656" s="0" t="str">
        <f aca="false">TEXT(B1656,"MMM YYYY")</f>
        <v>Feb 2026</v>
      </c>
    </row>
    <row r="1657" customFormat="false" ht="15" hidden="false" customHeight="false" outlineLevel="0" collapsed="false">
      <c r="A1657" s="0" t="s">
        <v>4003</v>
      </c>
      <c r="B1657" s="4" t="n">
        <v>46081</v>
      </c>
      <c r="C1657" s="0" t="s">
        <v>404</v>
      </c>
      <c r="D1657" s="0" t="n">
        <v>26</v>
      </c>
      <c r="E1657" s="0" t="s">
        <v>4004</v>
      </c>
      <c r="F1657" s="3" t="n">
        <f aca="false">D1657*_xlfn.XLOOKUP(C1657,Item_Master!A:A,Item_Master!G:G)</f>
        <v>45760</v>
      </c>
      <c r="G1657" s="0" t="str">
        <f aca="false">TEXT(B1657,"MMM YYYY")</f>
        <v>Feb 2026</v>
      </c>
    </row>
    <row r="1658" customFormat="false" ht="15" hidden="false" customHeight="false" outlineLevel="0" collapsed="false">
      <c r="A1658" s="0" t="s">
        <v>4005</v>
      </c>
      <c r="B1658" s="4" t="n">
        <v>46081</v>
      </c>
      <c r="C1658" s="0" t="s">
        <v>457</v>
      </c>
      <c r="D1658" s="0" t="n">
        <v>32</v>
      </c>
      <c r="E1658" s="0" t="s">
        <v>4006</v>
      </c>
      <c r="F1658" s="3" t="n">
        <f aca="false">D1658*_xlfn.XLOOKUP(C1658,Item_Master!A:A,Item_Master!G:G)</f>
        <v>19520</v>
      </c>
      <c r="G1658" s="0" t="str">
        <f aca="false">TEXT(B1658,"MMM YYYY")</f>
        <v>Feb 2026</v>
      </c>
    </row>
    <row r="1659" customFormat="false" ht="15" hidden="false" customHeight="false" outlineLevel="0" collapsed="false">
      <c r="A1659" s="0" t="s">
        <v>4007</v>
      </c>
      <c r="B1659" s="4" t="n">
        <v>46081</v>
      </c>
      <c r="C1659" s="0" t="s">
        <v>493</v>
      </c>
      <c r="D1659" s="0" t="n">
        <v>8</v>
      </c>
      <c r="E1659" s="0" t="s">
        <v>4008</v>
      </c>
      <c r="F1659" s="3" t="n">
        <f aca="false">D1659*_xlfn.XLOOKUP(C1659,Item_Master!A:A,Item_Master!G:G)</f>
        <v>3760</v>
      </c>
      <c r="G1659" s="0" t="str">
        <f aca="false">TEXT(B1659,"MMM YYYY")</f>
        <v>Feb 2026</v>
      </c>
    </row>
    <row r="1660" customFormat="false" ht="15" hidden="false" customHeight="false" outlineLevel="0" collapsed="false">
      <c r="A1660" s="0" t="s">
        <v>4009</v>
      </c>
      <c r="B1660" s="4" t="n">
        <v>46081</v>
      </c>
      <c r="C1660" s="0" t="s">
        <v>507</v>
      </c>
      <c r="D1660" s="0" t="n">
        <v>21</v>
      </c>
      <c r="E1660" s="0" t="s">
        <v>4010</v>
      </c>
      <c r="F1660" s="3" t="n">
        <f aca="false">D1660*_xlfn.XLOOKUP(C1660,Item_Master!A:A,Item_Master!G:G)</f>
        <v>9240</v>
      </c>
      <c r="G1660" s="0" t="str">
        <f aca="false">TEXT(B1660,"MMM YYYY")</f>
        <v>Feb 2026</v>
      </c>
    </row>
    <row r="1661" customFormat="false" ht="15" hidden="false" customHeight="false" outlineLevel="0" collapsed="false">
      <c r="A1661" s="0" t="s">
        <v>4011</v>
      </c>
      <c r="B1661" s="4" t="n">
        <v>46081</v>
      </c>
      <c r="C1661" s="0" t="s">
        <v>527</v>
      </c>
      <c r="D1661" s="0" t="n">
        <v>8</v>
      </c>
      <c r="E1661" s="0" t="s">
        <v>4012</v>
      </c>
      <c r="F1661" s="3" t="n">
        <f aca="false">D1661*_xlfn.XLOOKUP(C1661,Item_Master!A:A,Item_Master!G:G)</f>
        <v>13760</v>
      </c>
      <c r="G1661" s="0" t="str">
        <f aca="false">TEXT(B1661,"MMM YYYY")</f>
        <v>Feb 2026</v>
      </c>
    </row>
    <row r="1662" customFormat="false" ht="15" hidden="false" customHeight="false" outlineLevel="0" collapsed="false">
      <c r="A1662" s="0" t="s">
        <v>4013</v>
      </c>
      <c r="B1662" s="4" t="n">
        <v>46081</v>
      </c>
      <c r="C1662" s="0" t="s">
        <v>586</v>
      </c>
      <c r="D1662" s="0" t="n">
        <v>1</v>
      </c>
      <c r="E1662" s="0" t="s">
        <v>4014</v>
      </c>
      <c r="F1662" s="3" t="n">
        <f aca="false">D1662*_xlfn.XLOOKUP(C1662,Item_Master!A:A,Item_Master!G:G)</f>
        <v>1700</v>
      </c>
      <c r="G1662" s="0" t="str">
        <f aca="false">TEXT(B1662,"MMM YYYY")</f>
        <v>Feb 2026</v>
      </c>
    </row>
    <row r="1663" customFormat="false" ht="15" hidden="false" customHeight="false" outlineLevel="0" collapsed="false">
      <c r="A1663" s="0" t="s">
        <v>4015</v>
      </c>
      <c r="B1663" s="4" t="n">
        <v>46081</v>
      </c>
      <c r="C1663" s="0" t="s">
        <v>641</v>
      </c>
      <c r="D1663" s="0" t="n">
        <v>28</v>
      </c>
      <c r="E1663" s="0" t="s">
        <v>4016</v>
      </c>
      <c r="F1663" s="3" t="n">
        <f aca="false">D1663*_xlfn.XLOOKUP(C1663,Item_Master!A:A,Item_Master!G:G)</f>
        <v>59360</v>
      </c>
      <c r="G1663" s="0" t="str">
        <f aca="false">TEXT(B1663,"MMM YYYY")</f>
        <v>Feb 2026</v>
      </c>
    </row>
    <row r="1664" customFormat="false" ht="15" hidden="false" customHeight="false" outlineLevel="0" collapsed="false">
      <c r="A1664" s="0" t="s">
        <v>4017</v>
      </c>
      <c r="B1664" s="4" t="n">
        <v>46082</v>
      </c>
      <c r="C1664" s="0" t="s">
        <v>136</v>
      </c>
      <c r="D1664" s="0" t="n">
        <v>9</v>
      </c>
      <c r="E1664" s="0" t="s">
        <v>4018</v>
      </c>
      <c r="F1664" s="3" t="n">
        <f aca="false">D1664*_xlfn.XLOOKUP(C1664,Item_Master!A:A,Item_Master!G:G)</f>
        <v>13410</v>
      </c>
      <c r="G1664" s="0" t="str">
        <f aca="false">TEXT(B1664,"MMM YYYY")</f>
        <v>Mar 2026</v>
      </c>
    </row>
    <row r="1665" customFormat="false" ht="15" hidden="false" customHeight="false" outlineLevel="0" collapsed="false">
      <c r="A1665" s="0" t="s">
        <v>4019</v>
      </c>
      <c r="B1665" s="4" t="n">
        <v>46082</v>
      </c>
      <c r="C1665" s="0" t="s">
        <v>269</v>
      </c>
      <c r="D1665" s="0" t="n">
        <v>39</v>
      </c>
      <c r="E1665" s="0" t="s">
        <v>4020</v>
      </c>
      <c r="F1665" s="3" t="n">
        <f aca="false">D1665*_xlfn.XLOOKUP(C1665,Item_Master!A:A,Item_Master!G:G)</f>
        <v>93990</v>
      </c>
      <c r="G1665" s="0" t="str">
        <f aca="false">TEXT(B1665,"MMM YYYY")</f>
        <v>Mar 2026</v>
      </c>
    </row>
    <row r="1666" customFormat="false" ht="15" hidden="false" customHeight="false" outlineLevel="0" collapsed="false">
      <c r="A1666" s="0" t="s">
        <v>4021</v>
      </c>
      <c r="B1666" s="4" t="n">
        <v>46082</v>
      </c>
      <c r="C1666" s="0" t="s">
        <v>363</v>
      </c>
      <c r="D1666" s="0" t="n">
        <v>18</v>
      </c>
      <c r="E1666" s="0" t="s">
        <v>4022</v>
      </c>
      <c r="F1666" s="3" t="n">
        <f aca="false">D1666*_xlfn.XLOOKUP(C1666,Item_Master!A:A,Item_Master!G:G)</f>
        <v>24840</v>
      </c>
      <c r="G1666" s="0" t="str">
        <f aca="false">TEXT(B1666,"MMM YYYY")</f>
        <v>Mar 2026</v>
      </c>
    </row>
    <row r="1667" customFormat="false" ht="15" hidden="false" customHeight="false" outlineLevel="0" collapsed="false">
      <c r="A1667" s="0" t="s">
        <v>4023</v>
      </c>
      <c r="B1667" s="4" t="n">
        <v>46082</v>
      </c>
      <c r="C1667" s="0" t="s">
        <v>374</v>
      </c>
      <c r="D1667" s="0" t="n">
        <v>6</v>
      </c>
      <c r="E1667" s="0" t="s">
        <v>4024</v>
      </c>
      <c r="F1667" s="3" t="n">
        <f aca="false">D1667*_xlfn.XLOOKUP(C1667,Item_Master!A:A,Item_Master!G:G)</f>
        <v>11460</v>
      </c>
      <c r="G1667" s="0" t="str">
        <f aca="false">TEXT(B1667,"MMM YYYY")</f>
        <v>Mar 2026</v>
      </c>
    </row>
    <row r="1668" customFormat="false" ht="15" hidden="false" customHeight="false" outlineLevel="0" collapsed="false">
      <c r="A1668" s="0" t="s">
        <v>4025</v>
      </c>
      <c r="B1668" s="4" t="n">
        <v>46082</v>
      </c>
      <c r="C1668" s="0" t="s">
        <v>376</v>
      </c>
      <c r="D1668" s="0" t="n">
        <v>6</v>
      </c>
      <c r="E1668" s="0" t="s">
        <v>4026</v>
      </c>
      <c r="F1668" s="3" t="n">
        <f aca="false">D1668*_xlfn.XLOOKUP(C1668,Item_Master!A:A,Item_Master!G:G)</f>
        <v>8340</v>
      </c>
      <c r="G1668" s="0" t="str">
        <f aca="false">TEXT(B1668,"MMM YYYY")</f>
        <v>Mar 2026</v>
      </c>
    </row>
    <row r="1669" customFormat="false" ht="15" hidden="false" customHeight="false" outlineLevel="0" collapsed="false">
      <c r="A1669" s="0" t="s">
        <v>4027</v>
      </c>
      <c r="B1669" s="4" t="n">
        <v>46082</v>
      </c>
      <c r="C1669" s="0" t="s">
        <v>386</v>
      </c>
      <c r="D1669" s="0" t="n">
        <v>16</v>
      </c>
      <c r="E1669" s="0" t="s">
        <v>4028</v>
      </c>
      <c r="F1669" s="3" t="n">
        <f aca="false">D1669*_xlfn.XLOOKUP(C1669,Item_Master!A:A,Item_Master!G:G)</f>
        <v>43840</v>
      </c>
      <c r="G1669" s="0" t="str">
        <f aca="false">TEXT(B1669,"MMM YYYY")</f>
        <v>Mar 2026</v>
      </c>
    </row>
    <row r="1670" customFormat="false" ht="15" hidden="false" customHeight="false" outlineLevel="0" collapsed="false">
      <c r="A1670" s="0" t="s">
        <v>4029</v>
      </c>
      <c r="B1670" s="4" t="n">
        <v>46082</v>
      </c>
      <c r="C1670" s="0" t="s">
        <v>398</v>
      </c>
      <c r="D1670" s="0" t="n">
        <v>14</v>
      </c>
      <c r="E1670" s="0" t="s">
        <v>4030</v>
      </c>
      <c r="F1670" s="3" t="n">
        <f aca="false">D1670*_xlfn.XLOOKUP(C1670,Item_Master!A:A,Item_Master!G:G)</f>
        <v>4340</v>
      </c>
      <c r="G1670" s="0" t="str">
        <f aca="false">TEXT(B1670,"MMM YYYY")</f>
        <v>Mar 2026</v>
      </c>
    </row>
    <row r="1671" customFormat="false" ht="15" hidden="false" customHeight="false" outlineLevel="0" collapsed="false">
      <c r="A1671" s="0" t="s">
        <v>4031</v>
      </c>
      <c r="B1671" s="4" t="n">
        <v>46082</v>
      </c>
      <c r="C1671" s="0" t="s">
        <v>426</v>
      </c>
      <c r="D1671" s="0" t="n">
        <v>25</v>
      </c>
      <c r="E1671" s="0" t="s">
        <v>4032</v>
      </c>
      <c r="F1671" s="3" t="n">
        <f aca="false">D1671*_xlfn.XLOOKUP(C1671,Item_Master!A:A,Item_Master!G:G)</f>
        <v>66750</v>
      </c>
      <c r="G1671" s="0" t="str">
        <f aca="false">TEXT(B1671,"MMM YYYY")</f>
        <v>Mar 2026</v>
      </c>
    </row>
    <row r="1672" customFormat="false" ht="15" hidden="false" customHeight="false" outlineLevel="0" collapsed="false">
      <c r="A1672" s="0" t="s">
        <v>4033</v>
      </c>
      <c r="B1672" s="4" t="n">
        <v>46082</v>
      </c>
      <c r="C1672" s="0" t="s">
        <v>518</v>
      </c>
      <c r="D1672" s="0" t="n">
        <v>3</v>
      </c>
      <c r="E1672" s="0" t="s">
        <v>4034</v>
      </c>
      <c r="F1672" s="3" t="n">
        <f aca="false">D1672*_xlfn.XLOOKUP(C1672,Item_Master!A:A,Item_Master!G:G)</f>
        <v>9870</v>
      </c>
      <c r="G1672" s="0" t="str">
        <f aca="false">TEXT(B1672,"MMM YYYY")</f>
        <v>Mar 2026</v>
      </c>
    </row>
    <row r="1673" customFormat="false" ht="15" hidden="false" customHeight="false" outlineLevel="0" collapsed="false">
      <c r="A1673" s="0" t="s">
        <v>4035</v>
      </c>
      <c r="B1673" s="4" t="n">
        <v>46082</v>
      </c>
      <c r="C1673" s="0" t="s">
        <v>577</v>
      </c>
      <c r="D1673" s="0" t="n">
        <v>2</v>
      </c>
      <c r="E1673" s="0" t="s">
        <v>4036</v>
      </c>
      <c r="F1673" s="3" t="n">
        <f aca="false">D1673*_xlfn.XLOOKUP(C1673,Item_Master!A:A,Item_Master!G:G)</f>
        <v>2780</v>
      </c>
      <c r="G1673" s="0" t="str">
        <f aca="false">TEXT(B1673,"MMM YYYY")</f>
        <v>Mar 2026</v>
      </c>
    </row>
    <row r="1674" customFormat="false" ht="15" hidden="false" customHeight="false" outlineLevel="0" collapsed="false">
      <c r="A1674" s="0" t="s">
        <v>4037</v>
      </c>
      <c r="B1674" s="4" t="n">
        <v>46082</v>
      </c>
      <c r="C1674" s="0" t="s">
        <v>590</v>
      </c>
      <c r="D1674" s="0" t="n">
        <v>36</v>
      </c>
      <c r="E1674" s="0" t="s">
        <v>4038</v>
      </c>
      <c r="F1674" s="3" t="n">
        <f aca="false">D1674*_xlfn.XLOOKUP(C1674,Item_Master!A:A,Item_Master!G:G)</f>
        <v>66600</v>
      </c>
      <c r="G1674" s="0" t="str">
        <f aca="false">TEXT(B1674,"MMM YYYY")</f>
        <v>Mar 2026</v>
      </c>
    </row>
    <row r="1675" customFormat="false" ht="15" hidden="false" customHeight="false" outlineLevel="0" collapsed="false">
      <c r="A1675" s="0" t="s">
        <v>4039</v>
      </c>
      <c r="B1675" s="4" t="n">
        <v>46082</v>
      </c>
      <c r="C1675" s="0" t="s">
        <v>663</v>
      </c>
      <c r="D1675" s="0" t="n">
        <v>37</v>
      </c>
      <c r="E1675" s="0" t="s">
        <v>4040</v>
      </c>
      <c r="F1675" s="3" t="n">
        <f aca="false">D1675*_xlfn.XLOOKUP(C1675,Item_Master!A:A,Item_Master!G:G)</f>
        <v>21460</v>
      </c>
      <c r="G1675" s="0" t="str">
        <f aca="false">TEXT(B1675,"MMM YYYY")</f>
        <v>Mar 2026</v>
      </c>
    </row>
    <row r="1676" customFormat="false" ht="15" hidden="false" customHeight="false" outlineLevel="0" collapsed="false">
      <c r="A1676" s="0" t="s">
        <v>4041</v>
      </c>
      <c r="B1676" s="4" t="n">
        <v>46083</v>
      </c>
      <c r="C1676" s="0" t="s">
        <v>26</v>
      </c>
      <c r="D1676" s="0" t="n">
        <v>19</v>
      </c>
      <c r="E1676" s="0" t="s">
        <v>4042</v>
      </c>
      <c r="F1676" s="3" t="n">
        <f aca="false">D1676*_xlfn.XLOOKUP(C1676,Item_Master!A:A,Item_Master!G:G)</f>
        <v>25080</v>
      </c>
      <c r="G1676" s="0" t="str">
        <f aca="false">TEXT(B1676,"MMM YYYY")</f>
        <v>Mar 2026</v>
      </c>
    </row>
    <row r="1677" customFormat="false" ht="15" hidden="false" customHeight="false" outlineLevel="0" collapsed="false">
      <c r="A1677" s="0" t="s">
        <v>4043</v>
      </c>
      <c r="B1677" s="4" t="n">
        <v>46083</v>
      </c>
      <c r="C1677" s="0" t="s">
        <v>83</v>
      </c>
      <c r="D1677" s="0" t="n">
        <v>11</v>
      </c>
      <c r="E1677" s="0" t="s">
        <v>4044</v>
      </c>
      <c r="F1677" s="3" t="n">
        <f aca="false">D1677*_xlfn.XLOOKUP(C1677,Item_Master!A:A,Item_Master!G:G)</f>
        <v>61490</v>
      </c>
      <c r="G1677" s="0" t="str">
        <f aca="false">TEXT(B1677,"MMM YYYY")</f>
        <v>Mar 2026</v>
      </c>
    </row>
    <row r="1678" customFormat="false" ht="15" hidden="false" customHeight="false" outlineLevel="0" collapsed="false">
      <c r="A1678" s="0" t="s">
        <v>4045</v>
      </c>
      <c r="B1678" s="4" t="n">
        <v>46083</v>
      </c>
      <c r="C1678" s="0" t="s">
        <v>221</v>
      </c>
      <c r="D1678" s="0" t="n">
        <v>37</v>
      </c>
      <c r="E1678" s="0" t="s">
        <v>4046</v>
      </c>
      <c r="F1678" s="3" t="n">
        <f aca="false">D1678*_xlfn.XLOOKUP(C1678,Item_Master!A:A,Item_Master!G:G)</f>
        <v>58090</v>
      </c>
      <c r="G1678" s="0" t="str">
        <f aca="false">TEXT(B1678,"MMM YYYY")</f>
        <v>Mar 2026</v>
      </c>
    </row>
    <row r="1679" customFormat="false" ht="15" hidden="false" customHeight="false" outlineLevel="0" collapsed="false">
      <c r="A1679" s="0" t="s">
        <v>4047</v>
      </c>
      <c r="B1679" s="4" t="n">
        <v>46083</v>
      </c>
      <c r="C1679" s="0" t="s">
        <v>318</v>
      </c>
      <c r="D1679" s="0" t="n">
        <v>13</v>
      </c>
      <c r="E1679" s="0" t="s">
        <v>4048</v>
      </c>
      <c r="F1679" s="3" t="n">
        <f aca="false">D1679*_xlfn.XLOOKUP(C1679,Item_Master!A:A,Item_Master!G:G)</f>
        <v>21450</v>
      </c>
      <c r="G1679" s="0" t="str">
        <f aca="false">TEXT(B1679,"MMM YYYY")</f>
        <v>Mar 2026</v>
      </c>
    </row>
    <row r="1680" customFormat="false" ht="15" hidden="false" customHeight="false" outlineLevel="0" collapsed="false">
      <c r="A1680" s="0" t="s">
        <v>4049</v>
      </c>
      <c r="B1680" s="4" t="n">
        <v>46083</v>
      </c>
      <c r="C1680" s="0" t="s">
        <v>401</v>
      </c>
      <c r="D1680" s="0" t="n">
        <v>7</v>
      </c>
      <c r="E1680" s="0" t="s">
        <v>4050</v>
      </c>
      <c r="F1680" s="3" t="n">
        <f aca="false">D1680*_xlfn.XLOOKUP(C1680,Item_Master!A:A,Item_Master!G:G)</f>
        <v>140770</v>
      </c>
      <c r="G1680" s="0" t="str">
        <f aca="false">TEXT(B1680,"MMM YYYY")</f>
        <v>Mar 2026</v>
      </c>
    </row>
    <row r="1681" customFormat="false" ht="15" hidden="false" customHeight="false" outlineLevel="0" collapsed="false">
      <c r="A1681" s="0" t="s">
        <v>4051</v>
      </c>
      <c r="B1681" s="4" t="n">
        <v>46083</v>
      </c>
      <c r="C1681" s="0" t="s">
        <v>461</v>
      </c>
      <c r="D1681" s="0" t="n">
        <v>12</v>
      </c>
      <c r="E1681" s="0" t="s">
        <v>4052</v>
      </c>
      <c r="F1681" s="3" t="n">
        <f aca="false">D1681*_xlfn.XLOOKUP(C1681,Item_Master!A:A,Item_Master!G:G)</f>
        <v>18360</v>
      </c>
      <c r="G1681" s="0" t="str">
        <f aca="false">TEXT(B1681,"MMM YYYY")</f>
        <v>Mar 2026</v>
      </c>
    </row>
    <row r="1682" customFormat="false" ht="15" hidden="false" customHeight="false" outlineLevel="0" collapsed="false">
      <c r="A1682" s="0" t="s">
        <v>4053</v>
      </c>
      <c r="B1682" s="4" t="n">
        <v>46083</v>
      </c>
      <c r="C1682" s="0" t="s">
        <v>643</v>
      </c>
      <c r="D1682" s="0" t="n">
        <v>7</v>
      </c>
      <c r="E1682" s="0" t="s">
        <v>4054</v>
      </c>
      <c r="F1682" s="3" t="n">
        <f aca="false">D1682*_xlfn.XLOOKUP(C1682,Item_Master!A:A,Item_Master!G:G)</f>
        <v>9800</v>
      </c>
      <c r="G1682" s="0" t="str">
        <f aca="false">TEXT(B1682,"MMM YYYY")</f>
        <v>Mar 2026</v>
      </c>
    </row>
    <row r="1683" customFormat="false" ht="15" hidden="false" customHeight="false" outlineLevel="0" collapsed="false">
      <c r="A1683" s="0" t="s">
        <v>4055</v>
      </c>
      <c r="B1683" s="4" t="n">
        <v>46084</v>
      </c>
      <c r="C1683" s="0" t="s">
        <v>81</v>
      </c>
      <c r="D1683" s="0" t="n">
        <v>34</v>
      </c>
      <c r="E1683" s="0" t="s">
        <v>4056</v>
      </c>
      <c r="F1683" s="3" t="n">
        <f aca="false">D1683*_xlfn.XLOOKUP(C1683,Item_Master!A:A,Item_Master!G:G)</f>
        <v>95880</v>
      </c>
      <c r="G1683" s="0" t="str">
        <f aca="false">TEXT(B1683,"MMM YYYY")</f>
        <v>Mar 2026</v>
      </c>
    </row>
    <row r="1684" customFormat="false" ht="15" hidden="false" customHeight="false" outlineLevel="0" collapsed="false">
      <c r="A1684" s="0" t="s">
        <v>4057</v>
      </c>
      <c r="B1684" s="4" t="n">
        <v>46084</v>
      </c>
      <c r="C1684" s="0" t="s">
        <v>189</v>
      </c>
      <c r="D1684" s="0" t="n">
        <v>4</v>
      </c>
      <c r="E1684" s="0" t="s">
        <v>4058</v>
      </c>
      <c r="F1684" s="3" t="n">
        <f aca="false">D1684*_xlfn.XLOOKUP(C1684,Item_Master!A:A,Item_Master!G:G)</f>
        <v>19280</v>
      </c>
      <c r="G1684" s="0" t="str">
        <f aca="false">TEXT(B1684,"MMM YYYY")</f>
        <v>Mar 2026</v>
      </c>
    </row>
    <row r="1685" customFormat="false" ht="15" hidden="false" customHeight="false" outlineLevel="0" collapsed="false">
      <c r="A1685" s="0" t="s">
        <v>4059</v>
      </c>
      <c r="B1685" s="4" t="n">
        <v>46084</v>
      </c>
      <c r="C1685" s="0" t="s">
        <v>232</v>
      </c>
      <c r="D1685" s="0" t="n">
        <v>4</v>
      </c>
      <c r="E1685" s="0" t="s">
        <v>4060</v>
      </c>
      <c r="F1685" s="3" t="n">
        <f aca="false">D1685*_xlfn.XLOOKUP(C1685,Item_Master!A:A,Item_Master!G:G)</f>
        <v>13680</v>
      </c>
      <c r="G1685" s="0" t="str">
        <f aca="false">TEXT(B1685,"MMM YYYY")</f>
        <v>Mar 2026</v>
      </c>
    </row>
    <row r="1686" customFormat="false" ht="15" hidden="false" customHeight="false" outlineLevel="0" collapsed="false">
      <c r="A1686" s="0" t="s">
        <v>4061</v>
      </c>
      <c r="B1686" s="4" t="n">
        <v>46084</v>
      </c>
      <c r="C1686" s="0" t="s">
        <v>312</v>
      </c>
      <c r="D1686" s="0" t="n">
        <v>25</v>
      </c>
      <c r="E1686" s="0" t="s">
        <v>4062</v>
      </c>
      <c r="F1686" s="3" t="n">
        <f aca="false">D1686*_xlfn.XLOOKUP(C1686,Item_Master!A:A,Item_Master!G:G)</f>
        <v>20750</v>
      </c>
      <c r="G1686" s="0" t="str">
        <f aca="false">TEXT(B1686,"MMM YYYY")</f>
        <v>Mar 2026</v>
      </c>
    </row>
    <row r="1687" customFormat="false" ht="15" hidden="false" customHeight="false" outlineLevel="0" collapsed="false">
      <c r="A1687" s="0" t="s">
        <v>4063</v>
      </c>
      <c r="B1687" s="4" t="n">
        <v>46084</v>
      </c>
      <c r="C1687" s="0" t="s">
        <v>380</v>
      </c>
      <c r="D1687" s="0" t="n">
        <v>6</v>
      </c>
      <c r="E1687" s="0" t="s">
        <v>4064</v>
      </c>
      <c r="F1687" s="3" t="n">
        <f aca="false">D1687*_xlfn.XLOOKUP(C1687,Item_Master!A:A,Item_Master!G:G)</f>
        <v>19020</v>
      </c>
      <c r="G1687" s="0" t="str">
        <f aca="false">TEXT(B1687,"MMM YYYY")</f>
        <v>Mar 2026</v>
      </c>
    </row>
    <row r="1688" customFormat="false" ht="15" hidden="false" customHeight="false" outlineLevel="0" collapsed="false">
      <c r="A1688" s="0" t="s">
        <v>4065</v>
      </c>
      <c r="B1688" s="4" t="n">
        <v>46084</v>
      </c>
      <c r="C1688" s="0" t="s">
        <v>469</v>
      </c>
      <c r="D1688" s="0" t="n">
        <v>24</v>
      </c>
      <c r="E1688" s="0" t="s">
        <v>4066</v>
      </c>
      <c r="F1688" s="3" t="n">
        <f aca="false">D1688*_xlfn.XLOOKUP(C1688,Item_Master!A:A,Item_Master!G:G)</f>
        <v>99840</v>
      </c>
      <c r="G1688" s="0" t="str">
        <f aca="false">TEXT(B1688,"MMM YYYY")</f>
        <v>Mar 2026</v>
      </c>
    </row>
    <row r="1689" customFormat="false" ht="15" hidden="false" customHeight="false" outlineLevel="0" collapsed="false">
      <c r="A1689" s="0" t="s">
        <v>4067</v>
      </c>
      <c r="B1689" s="4" t="n">
        <v>46084</v>
      </c>
      <c r="C1689" s="0" t="s">
        <v>494</v>
      </c>
      <c r="D1689" s="0" t="n">
        <v>33</v>
      </c>
      <c r="E1689" s="0" t="s">
        <v>4068</v>
      </c>
      <c r="F1689" s="3" t="n">
        <f aca="false">D1689*_xlfn.XLOOKUP(C1689,Item_Master!A:A,Item_Master!G:G)</f>
        <v>460020</v>
      </c>
      <c r="G1689" s="0" t="str">
        <f aca="false">TEXT(B1689,"MMM YYYY")</f>
        <v>Mar 2026</v>
      </c>
    </row>
    <row r="1690" customFormat="false" ht="15" hidden="false" customHeight="false" outlineLevel="0" collapsed="false">
      <c r="A1690" s="0" t="s">
        <v>4069</v>
      </c>
      <c r="B1690" s="4" t="n">
        <v>46084</v>
      </c>
      <c r="C1690" s="0" t="s">
        <v>564</v>
      </c>
      <c r="D1690" s="0" t="n">
        <v>8</v>
      </c>
      <c r="E1690" s="0" t="s">
        <v>4070</v>
      </c>
      <c r="F1690" s="3" t="n">
        <f aca="false">D1690*_xlfn.XLOOKUP(C1690,Item_Master!A:A,Item_Master!G:G)</f>
        <v>8080</v>
      </c>
      <c r="G1690" s="0" t="str">
        <f aca="false">TEXT(B1690,"MMM YYYY")</f>
        <v>Mar 2026</v>
      </c>
    </row>
    <row r="1691" customFormat="false" ht="15" hidden="false" customHeight="false" outlineLevel="0" collapsed="false">
      <c r="A1691" s="0" t="s">
        <v>4071</v>
      </c>
      <c r="B1691" s="4" t="n">
        <v>46084</v>
      </c>
      <c r="C1691" s="0" t="s">
        <v>614</v>
      </c>
      <c r="D1691" s="0" t="n">
        <v>18</v>
      </c>
      <c r="E1691" s="0" t="s">
        <v>4072</v>
      </c>
      <c r="F1691" s="3" t="n">
        <f aca="false">D1691*_xlfn.XLOOKUP(C1691,Item_Master!A:A,Item_Master!G:G)</f>
        <v>35640</v>
      </c>
      <c r="G1691" s="0" t="str">
        <f aca="false">TEXT(B1691,"MMM YYYY")</f>
        <v>Mar 2026</v>
      </c>
    </row>
    <row r="1692" customFormat="false" ht="15" hidden="false" customHeight="false" outlineLevel="0" collapsed="false">
      <c r="A1692" s="0" t="s">
        <v>4073</v>
      </c>
      <c r="B1692" s="4" t="n">
        <v>46085</v>
      </c>
      <c r="C1692" s="0" t="s">
        <v>114</v>
      </c>
      <c r="D1692" s="0" t="n">
        <v>38</v>
      </c>
      <c r="E1692" s="0" t="s">
        <v>4074</v>
      </c>
      <c r="F1692" s="3" t="n">
        <f aca="false">D1692*_xlfn.XLOOKUP(C1692,Item_Master!A:A,Item_Master!G:G)</f>
        <v>22420</v>
      </c>
      <c r="G1692" s="0" t="str">
        <f aca="false">TEXT(B1692,"MMM YYYY")</f>
        <v>Mar 2026</v>
      </c>
    </row>
    <row r="1693" customFormat="false" ht="15" hidden="false" customHeight="false" outlineLevel="0" collapsed="false">
      <c r="A1693" s="0" t="s">
        <v>4075</v>
      </c>
      <c r="B1693" s="4" t="n">
        <v>46085</v>
      </c>
      <c r="C1693" s="0" t="s">
        <v>239</v>
      </c>
      <c r="D1693" s="0" t="n">
        <v>31</v>
      </c>
      <c r="E1693" s="0" t="s">
        <v>4076</v>
      </c>
      <c r="F1693" s="3" t="n">
        <f aca="false">D1693*_xlfn.XLOOKUP(C1693,Item_Master!A:A,Item_Master!G:G)</f>
        <v>54250</v>
      </c>
      <c r="G1693" s="0" t="str">
        <f aca="false">TEXT(B1693,"MMM YYYY")</f>
        <v>Mar 2026</v>
      </c>
    </row>
    <row r="1694" customFormat="false" ht="15" hidden="false" customHeight="false" outlineLevel="0" collapsed="false">
      <c r="A1694" s="0" t="s">
        <v>4077</v>
      </c>
      <c r="B1694" s="4" t="n">
        <v>46085</v>
      </c>
      <c r="C1694" s="0" t="s">
        <v>287</v>
      </c>
      <c r="D1694" s="0" t="n">
        <v>12</v>
      </c>
      <c r="E1694" s="0" t="s">
        <v>4078</v>
      </c>
      <c r="F1694" s="3" t="n">
        <f aca="false">D1694*_xlfn.XLOOKUP(C1694,Item_Master!A:A,Item_Master!G:G)</f>
        <v>126480</v>
      </c>
      <c r="G1694" s="0" t="str">
        <f aca="false">TEXT(B1694,"MMM YYYY")</f>
        <v>Mar 2026</v>
      </c>
    </row>
    <row r="1695" customFormat="false" ht="15" hidden="false" customHeight="false" outlineLevel="0" collapsed="false">
      <c r="A1695" s="0" t="s">
        <v>4079</v>
      </c>
      <c r="B1695" s="4" t="n">
        <v>46085</v>
      </c>
      <c r="C1695" s="0" t="s">
        <v>333</v>
      </c>
      <c r="D1695" s="0" t="n">
        <v>20</v>
      </c>
      <c r="E1695" s="0" t="s">
        <v>4080</v>
      </c>
      <c r="F1695" s="3" t="n">
        <f aca="false">D1695*_xlfn.XLOOKUP(C1695,Item_Master!A:A,Item_Master!G:G)</f>
        <v>76400</v>
      </c>
      <c r="G1695" s="0" t="str">
        <f aca="false">TEXT(B1695,"MMM YYYY")</f>
        <v>Mar 2026</v>
      </c>
    </row>
    <row r="1696" customFormat="false" ht="15" hidden="false" customHeight="false" outlineLevel="0" collapsed="false">
      <c r="A1696" s="0" t="s">
        <v>4081</v>
      </c>
      <c r="B1696" s="4" t="n">
        <v>46085</v>
      </c>
      <c r="C1696" s="0" t="s">
        <v>363</v>
      </c>
      <c r="D1696" s="0" t="n">
        <v>5</v>
      </c>
      <c r="E1696" s="0" t="s">
        <v>4082</v>
      </c>
      <c r="F1696" s="3" t="n">
        <f aca="false">D1696*_xlfn.XLOOKUP(C1696,Item_Master!A:A,Item_Master!G:G)</f>
        <v>6900</v>
      </c>
      <c r="G1696" s="0" t="str">
        <f aca="false">TEXT(B1696,"MMM YYYY")</f>
        <v>Mar 2026</v>
      </c>
    </row>
    <row r="1697" customFormat="false" ht="15" hidden="false" customHeight="false" outlineLevel="0" collapsed="false">
      <c r="A1697" s="0" t="s">
        <v>4083</v>
      </c>
      <c r="B1697" s="4" t="n">
        <v>46085</v>
      </c>
      <c r="C1697" s="0" t="s">
        <v>387</v>
      </c>
      <c r="D1697" s="0" t="n">
        <v>9</v>
      </c>
      <c r="E1697" s="0" t="s">
        <v>4084</v>
      </c>
      <c r="F1697" s="3" t="n">
        <f aca="false">D1697*_xlfn.XLOOKUP(C1697,Item_Master!A:A,Item_Master!G:G)</f>
        <v>9630</v>
      </c>
      <c r="G1697" s="0" t="str">
        <f aca="false">TEXT(B1697,"MMM YYYY")</f>
        <v>Mar 2026</v>
      </c>
    </row>
    <row r="1698" customFormat="false" ht="15" hidden="false" customHeight="false" outlineLevel="0" collapsed="false">
      <c r="A1698" s="0" t="s">
        <v>4085</v>
      </c>
      <c r="B1698" s="4" t="n">
        <v>46085</v>
      </c>
      <c r="C1698" s="0" t="s">
        <v>422</v>
      </c>
      <c r="D1698" s="0" t="n">
        <v>28</v>
      </c>
      <c r="E1698" s="0" t="s">
        <v>4086</v>
      </c>
      <c r="F1698" s="3" t="n">
        <f aca="false">D1698*_xlfn.XLOOKUP(C1698,Item_Master!A:A,Item_Master!G:G)</f>
        <v>676200</v>
      </c>
      <c r="G1698" s="0" t="str">
        <f aca="false">TEXT(B1698,"MMM YYYY")</f>
        <v>Mar 2026</v>
      </c>
    </row>
    <row r="1699" customFormat="false" ht="15" hidden="false" customHeight="false" outlineLevel="0" collapsed="false">
      <c r="A1699" s="0" t="s">
        <v>4087</v>
      </c>
      <c r="B1699" s="4" t="n">
        <v>46085</v>
      </c>
      <c r="C1699" s="0" t="s">
        <v>438</v>
      </c>
      <c r="D1699" s="0" t="n">
        <v>28</v>
      </c>
      <c r="E1699" s="0" t="s">
        <v>4088</v>
      </c>
      <c r="F1699" s="3" t="n">
        <f aca="false">D1699*_xlfn.XLOOKUP(C1699,Item_Master!A:A,Item_Master!G:G)</f>
        <v>5600</v>
      </c>
      <c r="G1699" s="0" t="str">
        <f aca="false">TEXT(B1699,"MMM YYYY")</f>
        <v>Mar 2026</v>
      </c>
    </row>
    <row r="1700" customFormat="false" ht="15" hidden="false" customHeight="false" outlineLevel="0" collapsed="false">
      <c r="A1700" s="0" t="s">
        <v>4089</v>
      </c>
      <c r="B1700" s="4" t="n">
        <v>46085</v>
      </c>
      <c r="C1700" s="0" t="s">
        <v>503</v>
      </c>
      <c r="D1700" s="0" t="n">
        <v>33</v>
      </c>
      <c r="E1700" s="0" t="s">
        <v>4090</v>
      </c>
      <c r="F1700" s="3" t="n">
        <f aca="false">D1700*_xlfn.XLOOKUP(C1700,Item_Master!A:A,Item_Master!G:G)</f>
        <v>88440</v>
      </c>
      <c r="G1700" s="0" t="str">
        <f aca="false">TEXT(B1700,"MMM YYYY")</f>
        <v>Mar 2026</v>
      </c>
    </row>
    <row r="1701" customFormat="false" ht="15" hidden="false" customHeight="false" outlineLevel="0" collapsed="false">
      <c r="A1701" s="0" t="s">
        <v>4091</v>
      </c>
      <c r="B1701" s="4" t="n">
        <v>46085</v>
      </c>
      <c r="C1701" s="0" t="s">
        <v>590</v>
      </c>
      <c r="D1701" s="0" t="n">
        <v>13</v>
      </c>
      <c r="E1701" s="0" t="s">
        <v>4092</v>
      </c>
      <c r="F1701" s="3" t="n">
        <f aca="false">D1701*_xlfn.XLOOKUP(C1701,Item_Master!A:A,Item_Master!G:G)</f>
        <v>24050</v>
      </c>
      <c r="G1701" s="0" t="str">
        <f aca="false">TEXT(B1701,"MMM YYYY")</f>
        <v>Mar 2026</v>
      </c>
    </row>
    <row r="1702" customFormat="false" ht="15" hidden="false" customHeight="false" outlineLevel="0" collapsed="false">
      <c r="A1702" s="0" t="s">
        <v>4093</v>
      </c>
      <c r="B1702" s="4" t="n">
        <v>46085</v>
      </c>
      <c r="C1702" s="0" t="s">
        <v>688</v>
      </c>
      <c r="D1702" s="0" t="n">
        <v>22</v>
      </c>
      <c r="E1702" s="0" t="s">
        <v>4094</v>
      </c>
      <c r="F1702" s="3" t="n">
        <f aca="false">D1702*_xlfn.XLOOKUP(C1702,Item_Master!A:A,Item_Master!G:G)</f>
        <v>214280</v>
      </c>
      <c r="G1702" s="0" t="str">
        <f aca="false">TEXT(B1702,"MMM YYYY")</f>
        <v>Mar 2026</v>
      </c>
    </row>
    <row r="1703" customFormat="false" ht="15" hidden="false" customHeight="false" outlineLevel="0" collapsed="false">
      <c r="A1703" s="0" t="s">
        <v>4095</v>
      </c>
      <c r="B1703" s="4" t="n">
        <v>46085</v>
      </c>
      <c r="C1703" s="0" t="s">
        <v>692</v>
      </c>
      <c r="D1703" s="0" t="n">
        <v>18</v>
      </c>
      <c r="E1703" s="0" t="s">
        <v>4096</v>
      </c>
      <c r="F1703" s="3" t="n">
        <f aca="false">D1703*_xlfn.XLOOKUP(C1703,Item_Master!A:A,Item_Master!G:G)</f>
        <v>60480</v>
      </c>
      <c r="G1703" s="0" t="str">
        <f aca="false">TEXT(B1703,"MMM YYYY")</f>
        <v>Mar 2026</v>
      </c>
    </row>
    <row r="1704" customFormat="false" ht="15" hidden="false" customHeight="false" outlineLevel="0" collapsed="false">
      <c r="A1704" s="0" t="s">
        <v>4097</v>
      </c>
      <c r="B1704" s="4" t="n">
        <v>46086</v>
      </c>
      <c r="C1704" s="0" t="s">
        <v>58</v>
      </c>
      <c r="D1704" s="0" t="n">
        <v>1</v>
      </c>
      <c r="E1704" s="0" t="s">
        <v>4098</v>
      </c>
      <c r="F1704" s="3" t="n">
        <f aca="false">D1704*_xlfn.XLOOKUP(C1704,Item_Master!A:A,Item_Master!G:G)</f>
        <v>1010</v>
      </c>
      <c r="G1704" s="0" t="str">
        <f aca="false">TEXT(B1704,"MMM YYYY")</f>
        <v>Mar 2026</v>
      </c>
    </row>
    <row r="1705" customFormat="false" ht="15" hidden="false" customHeight="false" outlineLevel="0" collapsed="false">
      <c r="A1705" s="0" t="s">
        <v>4099</v>
      </c>
      <c r="B1705" s="4" t="n">
        <v>46086</v>
      </c>
      <c r="C1705" s="0" t="s">
        <v>176</v>
      </c>
      <c r="D1705" s="0" t="n">
        <v>1</v>
      </c>
      <c r="E1705" s="0" t="s">
        <v>4100</v>
      </c>
      <c r="F1705" s="3" t="n">
        <f aca="false">D1705*_xlfn.XLOOKUP(C1705,Item_Master!A:A,Item_Master!G:G)</f>
        <v>17600</v>
      </c>
      <c r="G1705" s="0" t="str">
        <f aca="false">TEXT(B1705,"MMM YYYY")</f>
        <v>Mar 2026</v>
      </c>
    </row>
    <row r="1706" customFormat="false" ht="15" hidden="false" customHeight="false" outlineLevel="0" collapsed="false">
      <c r="A1706" s="0" t="s">
        <v>4101</v>
      </c>
      <c r="B1706" s="4" t="n">
        <v>46086</v>
      </c>
      <c r="C1706" s="0" t="s">
        <v>320</v>
      </c>
      <c r="D1706" s="0" t="n">
        <v>16</v>
      </c>
      <c r="E1706" s="0" t="s">
        <v>4102</v>
      </c>
      <c r="F1706" s="3" t="n">
        <f aca="false">D1706*_xlfn.XLOOKUP(C1706,Item_Master!A:A,Item_Master!G:G)</f>
        <v>9280</v>
      </c>
      <c r="G1706" s="0" t="str">
        <f aca="false">TEXT(B1706,"MMM YYYY")</f>
        <v>Mar 2026</v>
      </c>
    </row>
    <row r="1707" customFormat="false" ht="15" hidden="false" customHeight="false" outlineLevel="0" collapsed="false">
      <c r="A1707" s="0" t="s">
        <v>4103</v>
      </c>
      <c r="B1707" s="4" t="n">
        <v>46086</v>
      </c>
      <c r="C1707" s="0" t="s">
        <v>343</v>
      </c>
      <c r="D1707" s="0" t="n">
        <v>22</v>
      </c>
      <c r="E1707" s="0" t="s">
        <v>4104</v>
      </c>
      <c r="F1707" s="3" t="n">
        <f aca="false">D1707*_xlfn.XLOOKUP(C1707,Item_Master!A:A,Item_Master!G:G)</f>
        <v>38500</v>
      </c>
      <c r="G1707" s="0" t="str">
        <f aca="false">TEXT(B1707,"MMM YYYY")</f>
        <v>Mar 2026</v>
      </c>
    </row>
    <row r="1708" customFormat="false" ht="15" hidden="false" customHeight="false" outlineLevel="0" collapsed="false">
      <c r="A1708" s="0" t="s">
        <v>4105</v>
      </c>
      <c r="B1708" s="4" t="n">
        <v>46086</v>
      </c>
      <c r="C1708" s="0" t="s">
        <v>394</v>
      </c>
      <c r="D1708" s="0" t="n">
        <v>6</v>
      </c>
      <c r="E1708" s="0" t="s">
        <v>4106</v>
      </c>
      <c r="F1708" s="3" t="n">
        <f aca="false">D1708*_xlfn.XLOOKUP(C1708,Item_Master!A:A,Item_Master!G:G)</f>
        <v>6360</v>
      </c>
      <c r="G1708" s="0" t="str">
        <f aca="false">TEXT(B1708,"MMM YYYY")</f>
        <v>Mar 2026</v>
      </c>
    </row>
    <row r="1709" customFormat="false" ht="15" hidden="false" customHeight="false" outlineLevel="0" collapsed="false">
      <c r="A1709" s="0" t="s">
        <v>4107</v>
      </c>
      <c r="B1709" s="4" t="n">
        <v>46086</v>
      </c>
      <c r="C1709" s="0" t="s">
        <v>482</v>
      </c>
      <c r="D1709" s="0" t="n">
        <v>7</v>
      </c>
      <c r="E1709" s="0" t="s">
        <v>1057</v>
      </c>
      <c r="F1709" s="3" t="n">
        <f aca="false">D1709*_xlfn.XLOOKUP(C1709,Item_Master!A:A,Item_Master!G:G)</f>
        <v>8540</v>
      </c>
      <c r="G1709" s="0" t="str">
        <f aca="false">TEXT(B1709,"MMM YYYY")</f>
        <v>Mar 2026</v>
      </c>
    </row>
    <row r="1710" customFormat="false" ht="15" hidden="false" customHeight="false" outlineLevel="0" collapsed="false">
      <c r="A1710" s="0" t="s">
        <v>4108</v>
      </c>
      <c r="B1710" s="4" t="n">
        <v>46086</v>
      </c>
      <c r="C1710" s="0" t="s">
        <v>573</v>
      </c>
      <c r="D1710" s="0" t="n">
        <v>2</v>
      </c>
      <c r="E1710" s="0" t="s">
        <v>4109</v>
      </c>
      <c r="F1710" s="3" t="n">
        <f aca="false">D1710*_xlfn.XLOOKUP(C1710,Item_Master!A:A,Item_Master!G:G)</f>
        <v>4100</v>
      </c>
      <c r="G1710" s="0" t="str">
        <f aca="false">TEXT(B1710,"MMM YYYY")</f>
        <v>Mar 2026</v>
      </c>
    </row>
    <row r="1711" customFormat="false" ht="15" hidden="false" customHeight="false" outlineLevel="0" collapsed="false">
      <c r="A1711" s="0" t="s">
        <v>4110</v>
      </c>
      <c r="B1711" s="4" t="n">
        <v>46086</v>
      </c>
      <c r="C1711" s="0" t="s">
        <v>582</v>
      </c>
      <c r="D1711" s="0" t="n">
        <v>30</v>
      </c>
      <c r="E1711" s="0" t="s">
        <v>4111</v>
      </c>
      <c r="F1711" s="3" t="n">
        <f aca="false">D1711*_xlfn.XLOOKUP(C1711,Item_Master!A:A,Item_Master!G:G)</f>
        <v>578700</v>
      </c>
      <c r="G1711" s="0" t="str">
        <f aca="false">TEXT(B1711,"MMM YYYY")</f>
        <v>Mar 2026</v>
      </c>
    </row>
    <row r="1712" customFormat="false" ht="15" hidden="false" customHeight="false" outlineLevel="0" collapsed="false">
      <c r="A1712" s="0" t="s">
        <v>4112</v>
      </c>
      <c r="B1712" s="4" t="n">
        <v>46086</v>
      </c>
      <c r="C1712" s="0" t="s">
        <v>584</v>
      </c>
      <c r="D1712" s="0" t="n">
        <v>25</v>
      </c>
      <c r="E1712" s="0" t="s">
        <v>4113</v>
      </c>
      <c r="F1712" s="3" t="n">
        <f aca="false">D1712*_xlfn.XLOOKUP(C1712,Item_Master!A:A,Item_Master!G:G)</f>
        <v>207000</v>
      </c>
      <c r="G1712" s="0" t="str">
        <f aca="false">TEXT(B1712,"MMM YYYY")</f>
        <v>Mar 2026</v>
      </c>
    </row>
    <row r="1713" customFormat="false" ht="15" hidden="false" customHeight="false" outlineLevel="0" collapsed="false">
      <c r="A1713" s="0" t="s">
        <v>4114</v>
      </c>
      <c r="B1713" s="4" t="n">
        <v>46086</v>
      </c>
      <c r="C1713" s="0" t="s">
        <v>626</v>
      </c>
      <c r="D1713" s="0" t="n">
        <v>14</v>
      </c>
      <c r="E1713" s="0" t="s">
        <v>4115</v>
      </c>
      <c r="F1713" s="3" t="n">
        <f aca="false">D1713*_xlfn.XLOOKUP(C1713,Item_Master!A:A,Item_Master!G:G)</f>
        <v>4620</v>
      </c>
      <c r="G1713" s="0" t="str">
        <f aca="false">TEXT(B1713,"MMM YYYY")</f>
        <v>Mar 2026</v>
      </c>
    </row>
    <row r="1714" customFormat="false" ht="15" hidden="false" customHeight="false" outlineLevel="0" collapsed="false">
      <c r="A1714" s="0" t="s">
        <v>4116</v>
      </c>
      <c r="B1714" s="4" t="n">
        <v>46086</v>
      </c>
      <c r="C1714" s="0" t="s">
        <v>656</v>
      </c>
      <c r="D1714" s="0" t="n">
        <v>13</v>
      </c>
      <c r="E1714" s="0" t="s">
        <v>4117</v>
      </c>
      <c r="F1714" s="3" t="n">
        <f aca="false">D1714*_xlfn.XLOOKUP(C1714,Item_Master!A:A,Item_Master!G:G)</f>
        <v>17810</v>
      </c>
      <c r="G1714" s="0" t="str">
        <f aca="false">TEXT(B1714,"MMM YYYY")</f>
        <v>Mar 2026</v>
      </c>
    </row>
    <row r="1715" customFormat="false" ht="15" hidden="false" customHeight="false" outlineLevel="0" collapsed="false">
      <c r="A1715" s="0" t="s">
        <v>4118</v>
      </c>
      <c r="B1715" s="4" t="n">
        <v>46086</v>
      </c>
      <c r="C1715" s="0" t="s">
        <v>669</v>
      </c>
      <c r="D1715" s="0" t="n">
        <v>30</v>
      </c>
      <c r="E1715" s="0" t="s">
        <v>4119</v>
      </c>
      <c r="F1715" s="3" t="n">
        <f aca="false">D1715*_xlfn.XLOOKUP(C1715,Item_Master!A:A,Item_Master!G:G)</f>
        <v>71100</v>
      </c>
      <c r="G1715" s="0" t="str">
        <f aca="false">TEXT(B1715,"MMM YYYY")</f>
        <v>Mar 2026</v>
      </c>
    </row>
    <row r="1716" customFormat="false" ht="15" hidden="false" customHeight="false" outlineLevel="0" collapsed="false">
      <c r="A1716" s="0" t="s">
        <v>4120</v>
      </c>
      <c r="B1716" s="4" t="n">
        <v>46087</v>
      </c>
      <c r="C1716" s="0" t="s">
        <v>55</v>
      </c>
      <c r="D1716" s="0" t="n">
        <v>1</v>
      </c>
      <c r="E1716" s="0" t="s">
        <v>4121</v>
      </c>
      <c r="F1716" s="3" t="n">
        <f aca="false">D1716*_xlfn.XLOOKUP(C1716,Item_Master!A:A,Item_Master!G:G)</f>
        <v>2920</v>
      </c>
      <c r="G1716" s="0" t="str">
        <f aca="false">TEXT(B1716,"MMM YYYY")</f>
        <v>Mar 2026</v>
      </c>
    </row>
    <row r="1717" customFormat="false" ht="15" hidden="false" customHeight="false" outlineLevel="0" collapsed="false">
      <c r="A1717" s="0" t="s">
        <v>4122</v>
      </c>
      <c r="B1717" s="4" t="n">
        <v>46087</v>
      </c>
      <c r="C1717" s="0" t="s">
        <v>90</v>
      </c>
      <c r="D1717" s="0" t="n">
        <v>4</v>
      </c>
      <c r="E1717" s="0" t="s">
        <v>4123</v>
      </c>
      <c r="F1717" s="3" t="n">
        <f aca="false">D1717*_xlfn.XLOOKUP(C1717,Item_Master!A:A,Item_Master!G:G)</f>
        <v>480</v>
      </c>
      <c r="G1717" s="0" t="str">
        <f aca="false">TEXT(B1717,"MMM YYYY")</f>
        <v>Mar 2026</v>
      </c>
    </row>
    <row r="1718" customFormat="false" ht="15" hidden="false" customHeight="false" outlineLevel="0" collapsed="false">
      <c r="A1718" s="0" t="s">
        <v>4124</v>
      </c>
      <c r="B1718" s="4" t="n">
        <v>46087</v>
      </c>
      <c r="C1718" s="0" t="s">
        <v>331</v>
      </c>
      <c r="D1718" s="0" t="n">
        <v>37</v>
      </c>
      <c r="E1718" s="0" t="s">
        <v>4125</v>
      </c>
      <c r="F1718" s="3" t="n">
        <f aca="false">D1718*_xlfn.XLOOKUP(C1718,Item_Master!A:A,Item_Master!G:G)</f>
        <v>48100</v>
      </c>
      <c r="G1718" s="0" t="str">
        <f aca="false">TEXT(B1718,"MMM YYYY")</f>
        <v>Mar 2026</v>
      </c>
    </row>
    <row r="1719" customFormat="false" ht="15" hidden="false" customHeight="false" outlineLevel="0" collapsed="false">
      <c r="A1719" s="0" t="s">
        <v>4126</v>
      </c>
      <c r="B1719" s="4" t="n">
        <v>46087</v>
      </c>
      <c r="C1719" s="0" t="s">
        <v>443</v>
      </c>
      <c r="D1719" s="0" t="n">
        <v>10</v>
      </c>
      <c r="E1719" s="0" t="s">
        <v>4127</v>
      </c>
      <c r="F1719" s="3" t="n">
        <f aca="false">D1719*_xlfn.XLOOKUP(C1719,Item_Master!A:A,Item_Master!G:G)</f>
        <v>16800</v>
      </c>
      <c r="G1719" s="0" t="str">
        <f aca="false">TEXT(B1719,"MMM YYYY")</f>
        <v>Mar 2026</v>
      </c>
    </row>
    <row r="1720" customFormat="false" ht="15" hidden="false" customHeight="false" outlineLevel="0" collapsed="false">
      <c r="A1720" s="0" t="s">
        <v>4128</v>
      </c>
      <c r="B1720" s="4" t="n">
        <v>46087</v>
      </c>
      <c r="C1720" s="0" t="s">
        <v>588</v>
      </c>
      <c r="D1720" s="0" t="n">
        <v>2</v>
      </c>
      <c r="E1720" s="0" t="s">
        <v>4129</v>
      </c>
      <c r="F1720" s="3" t="n">
        <f aca="false">D1720*_xlfn.XLOOKUP(C1720,Item_Master!A:A,Item_Master!G:G)</f>
        <v>6140</v>
      </c>
      <c r="G1720" s="0" t="str">
        <f aca="false">TEXT(B1720,"MMM YYYY")</f>
        <v>Mar 2026</v>
      </c>
    </row>
    <row r="1721" customFormat="false" ht="15" hidden="false" customHeight="false" outlineLevel="0" collapsed="false">
      <c r="A1721" s="0" t="s">
        <v>4130</v>
      </c>
      <c r="B1721" s="4" t="n">
        <v>46087</v>
      </c>
      <c r="C1721" s="0" t="s">
        <v>624</v>
      </c>
      <c r="D1721" s="0" t="n">
        <v>1</v>
      </c>
      <c r="E1721" s="0" t="s">
        <v>4131</v>
      </c>
      <c r="F1721" s="3" t="n">
        <f aca="false">D1721*_xlfn.XLOOKUP(C1721,Item_Master!A:A,Item_Master!G:G)</f>
        <v>620</v>
      </c>
      <c r="G1721" s="0" t="str">
        <f aca="false">TEXT(B1721,"MMM YYYY")</f>
        <v>Mar 2026</v>
      </c>
    </row>
    <row r="1722" customFormat="false" ht="15" hidden="false" customHeight="false" outlineLevel="0" collapsed="false">
      <c r="A1722" s="0" t="s">
        <v>4132</v>
      </c>
      <c r="B1722" s="4" t="n">
        <v>46087</v>
      </c>
      <c r="C1722" s="0" t="s">
        <v>631</v>
      </c>
      <c r="D1722" s="0" t="n">
        <v>29</v>
      </c>
      <c r="E1722" s="0" t="s">
        <v>4133</v>
      </c>
      <c r="F1722" s="3" t="n">
        <f aca="false">D1722*_xlfn.XLOOKUP(C1722,Item_Master!A:A,Item_Master!G:G)</f>
        <v>23490</v>
      </c>
      <c r="G1722" s="0" t="str">
        <f aca="false">TEXT(B1722,"MMM YYYY")</f>
        <v>Mar 2026</v>
      </c>
    </row>
    <row r="1723" customFormat="false" ht="15" hidden="false" customHeight="false" outlineLevel="0" collapsed="false">
      <c r="A1723" s="0" t="s">
        <v>4134</v>
      </c>
      <c r="B1723" s="4" t="n">
        <v>46087</v>
      </c>
      <c r="C1723" s="0" t="s">
        <v>683</v>
      </c>
      <c r="D1723" s="0" t="n">
        <v>5</v>
      </c>
      <c r="E1723" s="0" t="s">
        <v>4135</v>
      </c>
      <c r="F1723" s="3" t="n">
        <f aca="false">D1723*_xlfn.XLOOKUP(C1723,Item_Master!A:A,Item_Master!G:G)</f>
        <v>4000</v>
      </c>
      <c r="G1723" s="0" t="str">
        <f aca="false">TEXT(B1723,"MMM YYYY")</f>
        <v>Mar 2026</v>
      </c>
    </row>
    <row r="1724" customFormat="false" ht="15" hidden="false" customHeight="false" outlineLevel="0" collapsed="false">
      <c r="A1724" s="0" t="s">
        <v>4136</v>
      </c>
      <c r="B1724" s="4" t="n">
        <v>46088</v>
      </c>
      <c r="C1724" s="0" t="s">
        <v>193</v>
      </c>
      <c r="D1724" s="0" t="n">
        <v>39</v>
      </c>
      <c r="E1724" s="0" t="s">
        <v>4137</v>
      </c>
      <c r="F1724" s="3" t="n">
        <f aca="false">D1724*_xlfn.XLOOKUP(C1724,Item_Master!A:A,Item_Master!G:G)</f>
        <v>742170</v>
      </c>
      <c r="G1724" s="0" t="str">
        <f aca="false">TEXT(B1724,"MMM YYYY")</f>
        <v>Mar 2026</v>
      </c>
    </row>
    <row r="1725" customFormat="false" ht="15" hidden="false" customHeight="false" outlineLevel="0" collapsed="false">
      <c r="A1725" s="0" t="s">
        <v>4138</v>
      </c>
      <c r="B1725" s="4" t="n">
        <v>46088</v>
      </c>
      <c r="C1725" s="0" t="s">
        <v>239</v>
      </c>
      <c r="D1725" s="0" t="n">
        <v>2</v>
      </c>
      <c r="E1725" s="0" t="s">
        <v>4139</v>
      </c>
      <c r="F1725" s="3" t="n">
        <f aca="false">D1725*_xlfn.XLOOKUP(C1725,Item_Master!A:A,Item_Master!G:G)</f>
        <v>3500</v>
      </c>
      <c r="G1725" s="0" t="str">
        <f aca="false">TEXT(B1725,"MMM YYYY")</f>
        <v>Mar 2026</v>
      </c>
    </row>
    <row r="1726" customFormat="false" ht="15" hidden="false" customHeight="false" outlineLevel="0" collapsed="false">
      <c r="A1726" s="0" t="s">
        <v>4140</v>
      </c>
      <c r="B1726" s="4" t="n">
        <v>46088</v>
      </c>
      <c r="C1726" s="0" t="s">
        <v>345</v>
      </c>
      <c r="D1726" s="0" t="n">
        <v>1</v>
      </c>
      <c r="E1726" s="0" t="s">
        <v>4141</v>
      </c>
      <c r="F1726" s="3" t="n">
        <f aca="false">D1726*_xlfn.XLOOKUP(C1726,Item_Master!A:A,Item_Master!G:G)</f>
        <v>2240</v>
      </c>
      <c r="G1726" s="0" t="str">
        <f aca="false">TEXT(B1726,"MMM YYYY")</f>
        <v>Mar 2026</v>
      </c>
    </row>
    <row r="1727" customFormat="false" ht="15" hidden="false" customHeight="false" outlineLevel="0" collapsed="false">
      <c r="A1727" s="0" t="s">
        <v>4142</v>
      </c>
      <c r="B1727" s="4" t="n">
        <v>46088</v>
      </c>
      <c r="C1727" s="0" t="s">
        <v>407</v>
      </c>
      <c r="D1727" s="0" t="n">
        <v>39</v>
      </c>
      <c r="E1727" s="0" t="s">
        <v>4143</v>
      </c>
      <c r="F1727" s="3" t="n">
        <f aca="false">D1727*_xlfn.XLOOKUP(C1727,Item_Master!A:A,Item_Master!G:G)</f>
        <v>8190</v>
      </c>
      <c r="G1727" s="0" t="str">
        <f aca="false">TEXT(B1727,"MMM YYYY")</f>
        <v>Mar 2026</v>
      </c>
    </row>
    <row r="1728" customFormat="false" ht="15" hidden="false" customHeight="false" outlineLevel="0" collapsed="false">
      <c r="A1728" s="0" t="s">
        <v>4144</v>
      </c>
      <c r="B1728" s="4" t="n">
        <v>46088</v>
      </c>
      <c r="C1728" s="0" t="s">
        <v>541</v>
      </c>
      <c r="D1728" s="0" t="n">
        <v>26</v>
      </c>
      <c r="E1728" s="0" t="s">
        <v>4145</v>
      </c>
      <c r="F1728" s="3" t="n">
        <f aca="false">D1728*_xlfn.XLOOKUP(C1728,Item_Master!A:A,Item_Master!G:G)</f>
        <v>30160</v>
      </c>
      <c r="G1728" s="0" t="str">
        <f aca="false">TEXT(B1728,"MMM YYYY")</f>
        <v>Mar 2026</v>
      </c>
    </row>
    <row r="1729" customFormat="false" ht="15" hidden="false" customHeight="false" outlineLevel="0" collapsed="false">
      <c r="A1729" s="0" t="s">
        <v>4146</v>
      </c>
      <c r="B1729" s="4" t="n">
        <v>46088</v>
      </c>
      <c r="C1729" s="0" t="s">
        <v>635</v>
      </c>
      <c r="D1729" s="0" t="n">
        <v>40</v>
      </c>
      <c r="E1729" s="0" t="s">
        <v>4147</v>
      </c>
      <c r="F1729" s="3" t="n">
        <f aca="false">D1729*_xlfn.XLOOKUP(C1729,Item_Master!A:A,Item_Master!G:G)</f>
        <v>848400</v>
      </c>
      <c r="G1729" s="0" t="str">
        <f aca="false">TEXT(B1729,"MMM YYYY")</f>
        <v>Mar 2026</v>
      </c>
    </row>
    <row r="1730" customFormat="false" ht="15" hidden="false" customHeight="false" outlineLevel="0" collapsed="false">
      <c r="A1730" s="0" t="s">
        <v>4148</v>
      </c>
      <c r="B1730" s="4" t="n">
        <v>46089</v>
      </c>
      <c r="C1730" s="0" t="s">
        <v>382</v>
      </c>
      <c r="D1730" s="0" t="n">
        <v>40</v>
      </c>
      <c r="E1730" s="0" t="s">
        <v>4149</v>
      </c>
      <c r="F1730" s="3" t="n">
        <f aca="false">D1730*_xlfn.XLOOKUP(C1730,Item_Master!A:A,Item_Master!G:G)</f>
        <v>82400</v>
      </c>
      <c r="G1730" s="0" t="str">
        <f aca="false">TEXT(B1730,"MMM YYYY")</f>
        <v>Mar 2026</v>
      </c>
    </row>
    <row r="1731" customFormat="false" ht="15" hidden="false" customHeight="false" outlineLevel="0" collapsed="false">
      <c r="A1731" s="0" t="s">
        <v>4150</v>
      </c>
      <c r="B1731" s="4" t="n">
        <v>46089</v>
      </c>
      <c r="C1731" s="0" t="s">
        <v>450</v>
      </c>
      <c r="D1731" s="0" t="n">
        <v>14</v>
      </c>
      <c r="E1731" s="0" t="s">
        <v>4151</v>
      </c>
      <c r="F1731" s="3" t="n">
        <f aca="false">D1731*_xlfn.XLOOKUP(C1731,Item_Master!A:A,Item_Master!G:G)</f>
        <v>11900</v>
      </c>
      <c r="G1731" s="0" t="str">
        <f aca="false">TEXT(B1731,"MMM YYYY")</f>
        <v>Mar 2026</v>
      </c>
    </row>
    <row r="1732" customFormat="false" ht="15" hidden="false" customHeight="false" outlineLevel="0" collapsed="false">
      <c r="A1732" s="0" t="s">
        <v>4152</v>
      </c>
      <c r="B1732" s="4" t="n">
        <v>46089</v>
      </c>
      <c r="C1732" s="0" t="s">
        <v>452</v>
      </c>
      <c r="D1732" s="0" t="n">
        <v>26</v>
      </c>
      <c r="E1732" s="0" t="s">
        <v>4153</v>
      </c>
      <c r="F1732" s="3" t="n">
        <f aca="false">D1732*_xlfn.XLOOKUP(C1732,Item_Master!A:A,Item_Master!G:G)</f>
        <v>22360</v>
      </c>
      <c r="G1732" s="0" t="str">
        <f aca="false">TEXT(B1732,"MMM YYYY")</f>
        <v>Mar 2026</v>
      </c>
    </row>
    <row r="1733" customFormat="false" ht="15" hidden="false" customHeight="false" outlineLevel="0" collapsed="false">
      <c r="A1733" s="0" t="s">
        <v>4154</v>
      </c>
      <c r="B1733" s="4" t="n">
        <v>46089</v>
      </c>
      <c r="C1733" s="0" t="s">
        <v>641</v>
      </c>
      <c r="D1733" s="0" t="n">
        <v>25</v>
      </c>
      <c r="E1733" s="0" t="s">
        <v>4155</v>
      </c>
      <c r="F1733" s="3" t="n">
        <f aca="false">D1733*_xlfn.XLOOKUP(C1733,Item_Master!A:A,Item_Master!G:G)</f>
        <v>53000</v>
      </c>
      <c r="G1733" s="0" t="str">
        <f aca="false">TEXT(B1733,"MMM YYYY")</f>
        <v>Mar 2026</v>
      </c>
    </row>
    <row r="1734" customFormat="false" ht="15" hidden="false" customHeight="false" outlineLevel="0" collapsed="false">
      <c r="A1734" s="0" t="s">
        <v>4156</v>
      </c>
      <c r="B1734" s="4" t="n">
        <v>46089</v>
      </c>
      <c r="C1734" s="0" t="s">
        <v>665</v>
      </c>
      <c r="D1734" s="0" t="n">
        <v>1</v>
      </c>
      <c r="E1734" s="0" t="s">
        <v>4157</v>
      </c>
      <c r="F1734" s="3" t="n">
        <f aca="false">D1734*_xlfn.XLOOKUP(C1734,Item_Master!A:A,Item_Master!G:G)</f>
        <v>1140</v>
      </c>
      <c r="G1734" s="0" t="str">
        <f aca="false">TEXT(B1734,"MMM YYYY")</f>
        <v>Mar 2026</v>
      </c>
    </row>
    <row r="1735" customFormat="false" ht="15" hidden="false" customHeight="false" outlineLevel="0" collapsed="false">
      <c r="A1735" s="0" t="s">
        <v>4158</v>
      </c>
      <c r="B1735" s="4" t="n">
        <v>46089</v>
      </c>
      <c r="C1735" s="0" t="s">
        <v>676</v>
      </c>
      <c r="D1735" s="0" t="n">
        <v>34</v>
      </c>
      <c r="E1735" s="0" t="s">
        <v>4159</v>
      </c>
      <c r="F1735" s="3" t="n">
        <f aca="false">D1735*_xlfn.XLOOKUP(C1735,Item_Master!A:A,Item_Master!G:G)</f>
        <v>74800</v>
      </c>
      <c r="G1735" s="0" t="str">
        <f aca="false">TEXT(B1735,"MMM YYYY")</f>
        <v>Mar 2026</v>
      </c>
    </row>
    <row r="1736" customFormat="false" ht="15" hidden="false" customHeight="false" outlineLevel="0" collapsed="false">
      <c r="A1736" s="0" t="s">
        <v>4160</v>
      </c>
      <c r="B1736" s="4" t="n">
        <v>46090</v>
      </c>
      <c r="C1736" s="0" t="s">
        <v>71</v>
      </c>
      <c r="D1736" s="0" t="n">
        <v>20</v>
      </c>
      <c r="E1736" s="0" t="s">
        <v>4161</v>
      </c>
      <c r="F1736" s="3" t="n">
        <f aca="false">D1736*_xlfn.XLOOKUP(C1736,Item_Master!A:A,Item_Master!G:G)</f>
        <v>9400</v>
      </c>
      <c r="G1736" s="0" t="str">
        <f aca="false">TEXT(B1736,"MMM YYYY")</f>
        <v>Mar 2026</v>
      </c>
    </row>
    <row r="1737" customFormat="false" ht="15" hidden="false" customHeight="false" outlineLevel="0" collapsed="false">
      <c r="A1737" s="0" t="s">
        <v>4162</v>
      </c>
      <c r="B1737" s="4" t="n">
        <v>46090</v>
      </c>
      <c r="C1737" s="0" t="s">
        <v>81</v>
      </c>
      <c r="D1737" s="0" t="n">
        <v>13</v>
      </c>
      <c r="E1737" s="0" t="s">
        <v>4163</v>
      </c>
      <c r="F1737" s="3" t="n">
        <f aca="false">D1737*_xlfn.XLOOKUP(C1737,Item_Master!A:A,Item_Master!G:G)</f>
        <v>36660</v>
      </c>
      <c r="G1737" s="0" t="str">
        <f aca="false">TEXT(B1737,"MMM YYYY")</f>
        <v>Mar 2026</v>
      </c>
    </row>
    <row r="1738" customFormat="false" ht="15" hidden="false" customHeight="false" outlineLevel="0" collapsed="false">
      <c r="A1738" s="0" t="s">
        <v>4164</v>
      </c>
      <c r="B1738" s="4" t="n">
        <v>46090</v>
      </c>
      <c r="C1738" s="0" t="s">
        <v>195</v>
      </c>
      <c r="D1738" s="0" t="n">
        <v>8</v>
      </c>
      <c r="E1738" s="0" t="s">
        <v>4165</v>
      </c>
      <c r="F1738" s="3" t="n">
        <f aca="false">D1738*_xlfn.XLOOKUP(C1738,Item_Master!A:A,Item_Master!G:G)</f>
        <v>11760</v>
      </c>
      <c r="G1738" s="0" t="str">
        <f aca="false">TEXT(B1738,"MMM YYYY")</f>
        <v>Mar 2026</v>
      </c>
    </row>
    <row r="1739" customFormat="false" ht="15" hidden="false" customHeight="false" outlineLevel="0" collapsed="false">
      <c r="A1739" s="0" t="s">
        <v>4166</v>
      </c>
      <c r="B1739" s="4" t="n">
        <v>46090</v>
      </c>
      <c r="C1739" s="0" t="s">
        <v>308</v>
      </c>
      <c r="D1739" s="0" t="n">
        <v>28</v>
      </c>
      <c r="E1739" s="0" t="s">
        <v>4167</v>
      </c>
      <c r="F1739" s="3" t="n">
        <f aca="false">D1739*_xlfn.XLOOKUP(C1739,Item_Master!A:A,Item_Master!G:G)</f>
        <v>5320</v>
      </c>
      <c r="G1739" s="0" t="str">
        <f aca="false">TEXT(B1739,"MMM YYYY")</f>
        <v>Mar 2026</v>
      </c>
    </row>
    <row r="1740" customFormat="false" ht="15" hidden="false" customHeight="false" outlineLevel="0" collapsed="false">
      <c r="A1740" s="0" t="s">
        <v>4168</v>
      </c>
      <c r="B1740" s="4" t="n">
        <v>46090</v>
      </c>
      <c r="C1740" s="0" t="s">
        <v>382</v>
      </c>
      <c r="D1740" s="0" t="n">
        <v>33</v>
      </c>
      <c r="E1740" s="0" t="s">
        <v>4169</v>
      </c>
      <c r="F1740" s="3" t="n">
        <f aca="false">D1740*_xlfn.XLOOKUP(C1740,Item_Master!A:A,Item_Master!G:G)</f>
        <v>67980</v>
      </c>
      <c r="G1740" s="0" t="str">
        <f aca="false">TEXT(B1740,"MMM YYYY")</f>
        <v>Mar 2026</v>
      </c>
    </row>
    <row r="1741" customFormat="false" ht="15" hidden="false" customHeight="false" outlineLevel="0" collapsed="false">
      <c r="A1741" s="0" t="s">
        <v>4170</v>
      </c>
      <c r="B1741" s="4" t="n">
        <v>46090</v>
      </c>
      <c r="C1741" s="0" t="s">
        <v>411</v>
      </c>
      <c r="D1741" s="0" t="n">
        <v>39</v>
      </c>
      <c r="E1741" s="0" t="s">
        <v>4171</v>
      </c>
      <c r="F1741" s="3" t="n">
        <f aca="false">D1741*_xlfn.XLOOKUP(C1741,Item_Master!A:A,Item_Master!G:G)</f>
        <v>533910</v>
      </c>
      <c r="G1741" s="0" t="str">
        <f aca="false">TEXT(B1741,"MMM YYYY")</f>
        <v>Mar 2026</v>
      </c>
    </row>
    <row r="1742" customFormat="false" ht="15" hidden="false" customHeight="false" outlineLevel="0" collapsed="false">
      <c r="A1742" s="0" t="s">
        <v>4172</v>
      </c>
      <c r="B1742" s="4" t="n">
        <v>46090</v>
      </c>
      <c r="C1742" s="0" t="s">
        <v>476</v>
      </c>
      <c r="D1742" s="0" t="n">
        <v>31</v>
      </c>
      <c r="E1742" s="0" t="s">
        <v>4173</v>
      </c>
      <c r="F1742" s="3" t="n">
        <f aca="false">D1742*_xlfn.XLOOKUP(C1742,Item_Master!A:A,Item_Master!G:G)</f>
        <v>18910</v>
      </c>
      <c r="G1742" s="0" t="str">
        <f aca="false">TEXT(B1742,"MMM YYYY")</f>
        <v>Mar 2026</v>
      </c>
    </row>
    <row r="1743" customFormat="false" ht="15" hidden="false" customHeight="false" outlineLevel="0" collapsed="false">
      <c r="A1743" s="0" t="s">
        <v>4174</v>
      </c>
      <c r="B1743" s="4" t="n">
        <v>46091</v>
      </c>
      <c r="C1743" s="0" t="s">
        <v>37</v>
      </c>
      <c r="D1743" s="0" t="n">
        <v>1</v>
      </c>
      <c r="E1743" s="0" t="s">
        <v>4175</v>
      </c>
      <c r="F1743" s="3" t="n">
        <f aca="false">D1743*_xlfn.XLOOKUP(C1743,Item_Master!A:A,Item_Master!G:G)</f>
        <v>540</v>
      </c>
      <c r="G1743" s="0" t="str">
        <f aca="false">TEXT(B1743,"MMM YYYY")</f>
        <v>Mar 2026</v>
      </c>
    </row>
    <row r="1744" customFormat="false" ht="15" hidden="false" customHeight="false" outlineLevel="0" collapsed="false">
      <c r="A1744" s="0" t="s">
        <v>4176</v>
      </c>
      <c r="B1744" s="4" t="n">
        <v>46091</v>
      </c>
      <c r="C1744" s="0" t="s">
        <v>90</v>
      </c>
      <c r="D1744" s="0" t="n">
        <v>5</v>
      </c>
      <c r="E1744" s="0" t="s">
        <v>4177</v>
      </c>
      <c r="F1744" s="3" t="n">
        <f aca="false">D1744*_xlfn.XLOOKUP(C1744,Item_Master!A:A,Item_Master!G:G)</f>
        <v>600</v>
      </c>
      <c r="G1744" s="0" t="str">
        <f aca="false">TEXT(B1744,"MMM YYYY")</f>
        <v>Mar 2026</v>
      </c>
    </row>
    <row r="1745" customFormat="false" ht="15" hidden="false" customHeight="false" outlineLevel="0" collapsed="false">
      <c r="A1745" s="0" t="s">
        <v>4178</v>
      </c>
      <c r="B1745" s="4" t="n">
        <v>46091</v>
      </c>
      <c r="C1745" s="0" t="s">
        <v>103</v>
      </c>
      <c r="D1745" s="0" t="n">
        <v>15</v>
      </c>
      <c r="E1745" s="0" t="s">
        <v>4179</v>
      </c>
      <c r="F1745" s="3" t="n">
        <f aca="false">D1745*_xlfn.XLOOKUP(C1745,Item_Master!A:A,Item_Master!G:G)</f>
        <v>27000</v>
      </c>
      <c r="G1745" s="0" t="str">
        <f aca="false">TEXT(B1745,"MMM YYYY")</f>
        <v>Mar 2026</v>
      </c>
    </row>
    <row r="1746" customFormat="false" ht="15" hidden="false" customHeight="false" outlineLevel="0" collapsed="false">
      <c r="A1746" s="0" t="s">
        <v>4180</v>
      </c>
      <c r="B1746" s="4" t="n">
        <v>46091</v>
      </c>
      <c r="C1746" s="0" t="s">
        <v>114</v>
      </c>
      <c r="D1746" s="0" t="n">
        <v>37</v>
      </c>
      <c r="E1746" s="0" t="s">
        <v>4181</v>
      </c>
      <c r="F1746" s="3" t="n">
        <f aca="false">D1746*_xlfn.XLOOKUP(C1746,Item_Master!A:A,Item_Master!G:G)</f>
        <v>21830</v>
      </c>
      <c r="G1746" s="0" t="str">
        <f aca="false">TEXT(B1746,"MMM YYYY")</f>
        <v>Mar 2026</v>
      </c>
    </row>
    <row r="1747" customFormat="false" ht="15" hidden="false" customHeight="false" outlineLevel="0" collapsed="false">
      <c r="A1747" s="0" t="s">
        <v>4182</v>
      </c>
      <c r="B1747" s="4" t="n">
        <v>46091</v>
      </c>
      <c r="C1747" s="0" t="s">
        <v>125</v>
      </c>
      <c r="D1747" s="0" t="n">
        <v>34</v>
      </c>
      <c r="E1747" s="0" t="s">
        <v>4183</v>
      </c>
      <c r="F1747" s="3" t="n">
        <f aca="false">D1747*_xlfn.XLOOKUP(C1747,Item_Master!A:A,Item_Master!G:G)</f>
        <v>76160</v>
      </c>
      <c r="G1747" s="0" t="str">
        <f aca="false">TEXT(B1747,"MMM YYYY")</f>
        <v>Mar 2026</v>
      </c>
    </row>
    <row r="1748" customFormat="false" ht="15" hidden="false" customHeight="false" outlineLevel="0" collapsed="false">
      <c r="A1748" s="0" t="s">
        <v>4184</v>
      </c>
      <c r="B1748" s="4" t="n">
        <v>46091</v>
      </c>
      <c r="C1748" s="0" t="s">
        <v>127</v>
      </c>
      <c r="D1748" s="0" t="n">
        <v>9</v>
      </c>
      <c r="E1748" s="0" t="s">
        <v>4185</v>
      </c>
      <c r="F1748" s="3" t="n">
        <f aca="false">D1748*_xlfn.XLOOKUP(C1748,Item_Master!A:A,Item_Master!G:G)</f>
        <v>24390</v>
      </c>
      <c r="G1748" s="0" t="str">
        <f aca="false">TEXT(B1748,"MMM YYYY")</f>
        <v>Mar 2026</v>
      </c>
    </row>
    <row r="1749" customFormat="false" ht="15" hidden="false" customHeight="false" outlineLevel="0" collapsed="false">
      <c r="A1749" s="0" t="s">
        <v>4186</v>
      </c>
      <c r="B1749" s="4" t="n">
        <v>46091</v>
      </c>
      <c r="C1749" s="0" t="s">
        <v>169</v>
      </c>
      <c r="D1749" s="0" t="n">
        <v>15</v>
      </c>
      <c r="E1749" s="0" t="s">
        <v>4187</v>
      </c>
      <c r="F1749" s="3" t="n">
        <f aca="false">D1749*_xlfn.XLOOKUP(C1749,Item_Master!A:A,Item_Master!G:G)</f>
        <v>61800</v>
      </c>
      <c r="G1749" s="0" t="str">
        <f aca="false">TEXT(B1749,"MMM YYYY")</f>
        <v>Mar 2026</v>
      </c>
    </row>
    <row r="1750" customFormat="false" ht="15" hidden="false" customHeight="false" outlineLevel="0" collapsed="false">
      <c r="A1750" s="0" t="s">
        <v>4188</v>
      </c>
      <c r="B1750" s="4" t="n">
        <v>46091</v>
      </c>
      <c r="C1750" s="0" t="s">
        <v>235</v>
      </c>
      <c r="D1750" s="0" t="n">
        <v>5</v>
      </c>
      <c r="E1750" s="0" t="s">
        <v>4189</v>
      </c>
      <c r="F1750" s="3" t="n">
        <f aca="false">D1750*_xlfn.XLOOKUP(C1750,Item_Master!A:A,Item_Master!G:G)</f>
        <v>12000</v>
      </c>
      <c r="G1750" s="0" t="str">
        <f aca="false">TEXT(B1750,"MMM YYYY")</f>
        <v>Mar 2026</v>
      </c>
    </row>
    <row r="1751" customFormat="false" ht="15" hidden="false" customHeight="false" outlineLevel="0" collapsed="false">
      <c r="A1751" s="0" t="s">
        <v>4190</v>
      </c>
      <c r="B1751" s="4" t="n">
        <v>46091</v>
      </c>
      <c r="C1751" s="0" t="s">
        <v>432</v>
      </c>
      <c r="D1751" s="0" t="n">
        <v>16</v>
      </c>
      <c r="E1751" s="0" t="s">
        <v>4191</v>
      </c>
      <c r="F1751" s="3" t="n">
        <f aca="false">D1751*_xlfn.XLOOKUP(C1751,Item_Master!A:A,Item_Master!G:G)</f>
        <v>60320</v>
      </c>
      <c r="G1751" s="0" t="str">
        <f aca="false">TEXT(B1751,"MMM YYYY")</f>
        <v>Mar 2026</v>
      </c>
    </row>
    <row r="1752" customFormat="false" ht="15" hidden="false" customHeight="false" outlineLevel="0" collapsed="false">
      <c r="A1752" s="0" t="s">
        <v>4192</v>
      </c>
      <c r="B1752" s="4" t="n">
        <v>46091</v>
      </c>
      <c r="C1752" s="0" t="s">
        <v>470</v>
      </c>
      <c r="D1752" s="0" t="n">
        <v>35</v>
      </c>
      <c r="E1752" s="0" t="s">
        <v>4193</v>
      </c>
      <c r="F1752" s="3" t="n">
        <f aca="false">D1752*_xlfn.XLOOKUP(C1752,Item_Master!A:A,Item_Master!G:G)</f>
        <v>47950</v>
      </c>
      <c r="G1752" s="0" t="str">
        <f aca="false">TEXT(B1752,"MMM YYYY")</f>
        <v>Mar 2026</v>
      </c>
    </row>
    <row r="1753" customFormat="false" ht="15" hidden="false" customHeight="false" outlineLevel="0" collapsed="false">
      <c r="A1753" s="0" t="s">
        <v>4194</v>
      </c>
      <c r="B1753" s="4" t="n">
        <v>46091</v>
      </c>
      <c r="C1753" s="0" t="s">
        <v>496</v>
      </c>
      <c r="D1753" s="0" t="n">
        <v>19</v>
      </c>
      <c r="E1753" s="0" t="s">
        <v>4195</v>
      </c>
      <c r="F1753" s="3" t="n">
        <f aca="false">D1753*_xlfn.XLOOKUP(C1753,Item_Master!A:A,Item_Master!G:G)</f>
        <v>9690</v>
      </c>
      <c r="G1753" s="0" t="str">
        <f aca="false">TEXT(B1753,"MMM YYYY")</f>
        <v>Mar 2026</v>
      </c>
    </row>
    <row r="1754" customFormat="false" ht="15" hidden="false" customHeight="false" outlineLevel="0" collapsed="false">
      <c r="A1754" s="0" t="s">
        <v>4196</v>
      </c>
      <c r="B1754" s="4" t="n">
        <v>46091</v>
      </c>
      <c r="C1754" s="0" t="s">
        <v>557</v>
      </c>
      <c r="D1754" s="0" t="n">
        <v>4</v>
      </c>
      <c r="E1754" s="0" t="s">
        <v>4197</v>
      </c>
      <c r="F1754" s="3" t="n">
        <f aca="false">D1754*_xlfn.XLOOKUP(C1754,Item_Master!A:A,Item_Master!G:G)</f>
        <v>4320</v>
      </c>
      <c r="G1754" s="0" t="str">
        <f aca="false">TEXT(B1754,"MMM YYYY")</f>
        <v>Mar 2026</v>
      </c>
    </row>
    <row r="1755" customFormat="false" ht="15" hidden="false" customHeight="false" outlineLevel="0" collapsed="false">
      <c r="A1755" s="0" t="s">
        <v>4198</v>
      </c>
      <c r="B1755" s="4" t="n">
        <v>46091</v>
      </c>
      <c r="C1755" s="0" t="s">
        <v>579</v>
      </c>
      <c r="D1755" s="0" t="n">
        <v>19</v>
      </c>
      <c r="E1755" s="0" t="s">
        <v>4199</v>
      </c>
      <c r="F1755" s="3" t="n">
        <f aca="false">D1755*_xlfn.XLOOKUP(C1755,Item_Master!A:A,Item_Master!G:G)</f>
        <v>35720</v>
      </c>
      <c r="G1755" s="0" t="str">
        <f aca="false">TEXT(B1755,"MMM YYYY")</f>
        <v>Mar 2026</v>
      </c>
    </row>
    <row r="1756" customFormat="false" ht="15" hidden="false" customHeight="false" outlineLevel="0" collapsed="false">
      <c r="A1756" s="0" t="s">
        <v>4200</v>
      </c>
      <c r="B1756" s="4" t="n">
        <v>46091</v>
      </c>
      <c r="C1756" s="0" t="s">
        <v>604</v>
      </c>
      <c r="D1756" s="0" t="n">
        <v>6</v>
      </c>
      <c r="E1756" s="0" t="s">
        <v>4201</v>
      </c>
      <c r="F1756" s="3" t="n">
        <f aca="false">D1756*_xlfn.XLOOKUP(C1756,Item_Master!A:A,Item_Master!G:G)</f>
        <v>9000</v>
      </c>
      <c r="G1756" s="0" t="str">
        <f aca="false">TEXT(B1756,"MMM YYYY")</f>
        <v>Mar 2026</v>
      </c>
    </row>
    <row r="1757" customFormat="false" ht="15" hidden="false" customHeight="false" outlineLevel="0" collapsed="false">
      <c r="A1757" s="0" t="s">
        <v>4202</v>
      </c>
      <c r="B1757" s="4" t="n">
        <v>46091</v>
      </c>
      <c r="C1757" s="0" t="s">
        <v>702</v>
      </c>
      <c r="D1757" s="0" t="n">
        <v>4</v>
      </c>
      <c r="E1757" s="0" t="s">
        <v>4203</v>
      </c>
      <c r="F1757" s="3" t="n">
        <f aca="false">D1757*_xlfn.XLOOKUP(C1757,Item_Master!A:A,Item_Master!G:G)</f>
        <v>9240</v>
      </c>
      <c r="G1757" s="0" t="str">
        <f aca="false">TEXT(B1757,"MMM YYYY")</f>
        <v>Mar 2026</v>
      </c>
    </row>
    <row r="1758" customFormat="false" ht="15" hidden="false" customHeight="false" outlineLevel="0" collapsed="false">
      <c r="A1758" s="0" t="s">
        <v>4204</v>
      </c>
      <c r="B1758" s="4" t="n">
        <v>46092</v>
      </c>
      <c r="C1758" s="0" t="s">
        <v>83</v>
      </c>
      <c r="D1758" s="0" t="n">
        <v>13</v>
      </c>
      <c r="E1758" s="0" t="s">
        <v>4205</v>
      </c>
      <c r="F1758" s="3" t="n">
        <f aca="false">D1758*_xlfn.XLOOKUP(C1758,Item_Master!A:A,Item_Master!G:G)</f>
        <v>72670</v>
      </c>
      <c r="G1758" s="0" t="str">
        <f aca="false">TEXT(B1758,"MMM YYYY")</f>
        <v>Mar 2026</v>
      </c>
    </row>
    <row r="1759" customFormat="false" ht="15" hidden="false" customHeight="false" outlineLevel="0" collapsed="false">
      <c r="A1759" s="0" t="s">
        <v>4206</v>
      </c>
      <c r="B1759" s="4" t="n">
        <v>46092</v>
      </c>
      <c r="C1759" s="0" t="s">
        <v>163</v>
      </c>
      <c r="D1759" s="0" t="n">
        <v>6</v>
      </c>
      <c r="E1759" s="0" t="s">
        <v>4207</v>
      </c>
      <c r="F1759" s="3" t="n">
        <f aca="false">D1759*_xlfn.XLOOKUP(C1759,Item_Master!A:A,Item_Master!G:G)</f>
        <v>112380</v>
      </c>
      <c r="G1759" s="0" t="str">
        <f aca="false">TEXT(B1759,"MMM YYYY")</f>
        <v>Mar 2026</v>
      </c>
    </row>
    <row r="1760" customFormat="false" ht="15" hidden="false" customHeight="false" outlineLevel="0" collapsed="false">
      <c r="A1760" s="0" t="s">
        <v>4208</v>
      </c>
      <c r="B1760" s="4" t="n">
        <v>46092</v>
      </c>
      <c r="C1760" s="0" t="s">
        <v>163</v>
      </c>
      <c r="D1760" s="0" t="n">
        <v>5</v>
      </c>
      <c r="E1760" s="0" t="s">
        <v>4209</v>
      </c>
      <c r="F1760" s="3" t="n">
        <f aca="false">D1760*_xlfn.XLOOKUP(C1760,Item_Master!A:A,Item_Master!G:G)</f>
        <v>93650</v>
      </c>
      <c r="G1760" s="0" t="str">
        <f aca="false">TEXT(B1760,"MMM YYYY")</f>
        <v>Mar 2026</v>
      </c>
    </row>
    <row r="1761" customFormat="false" ht="15" hidden="false" customHeight="false" outlineLevel="0" collapsed="false">
      <c r="A1761" s="0" t="s">
        <v>4210</v>
      </c>
      <c r="B1761" s="4" t="n">
        <v>46092</v>
      </c>
      <c r="C1761" s="0" t="s">
        <v>189</v>
      </c>
      <c r="D1761" s="0" t="n">
        <v>10</v>
      </c>
      <c r="E1761" s="0" t="s">
        <v>4211</v>
      </c>
      <c r="F1761" s="3" t="n">
        <f aca="false">D1761*_xlfn.XLOOKUP(C1761,Item_Master!A:A,Item_Master!G:G)</f>
        <v>48200</v>
      </c>
      <c r="G1761" s="0" t="str">
        <f aca="false">TEXT(B1761,"MMM YYYY")</f>
        <v>Mar 2026</v>
      </c>
    </row>
    <row r="1762" customFormat="false" ht="15" hidden="false" customHeight="false" outlineLevel="0" collapsed="false">
      <c r="A1762" s="0" t="s">
        <v>4212</v>
      </c>
      <c r="B1762" s="4" t="n">
        <v>46092</v>
      </c>
      <c r="C1762" s="0" t="s">
        <v>243</v>
      </c>
      <c r="D1762" s="0" t="n">
        <v>15</v>
      </c>
      <c r="E1762" s="0" t="s">
        <v>4213</v>
      </c>
      <c r="F1762" s="3" t="n">
        <f aca="false">D1762*_xlfn.XLOOKUP(C1762,Item_Master!A:A,Item_Master!G:G)</f>
        <v>17550</v>
      </c>
      <c r="G1762" s="0" t="str">
        <f aca="false">TEXT(B1762,"MMM YYYY")</f>
        <v>Mar 2026</v>
      </c>
    </row>
    <row r="1763" customFormat="false" ht="15" hidden="false" customHeight="false" outlineLevel="0" collapsed="false">
      <c r="A1763" s="0" t="s">
        <v>4214</v>
      </c>
      <c r="B1763" s="4" t="n">
        <v>46092</v>
      </c>
      <c r="C1763" s="0" t="s">
        <v>378</v>
      </c>
      <c r="D1763" s="0" t="n">
        <v>17</v>
      </c>
      <c r="E1763" s="0" t="s">
        <v>4215</v>
      </c>
      <c r="F1763" s="3" t="n">
        <f aca="false">D1763*_xlfn.XLOOKUP(C1763,Item_Master!A:A,Item_Master!G:G)</f>
        <v>30940</v>
      </c>
      <c r="G1763" s="0" t="str">
        <f aca="false">TEXT(B1763,"MMM YYYY")</f>
        <v>Mar 2026</v>
      </c>
    </row>
    <row r="1764" customFormat="false" ht="15" hidden="false" customHeight="false" outlineLevel="0" collapsed="false">
      <c r="A1764" s="0" t="s">
        <v>4216</v>
      </c>
      <c r="B1764" s="4" t="n">
        <v>46092</v>
      </c>
      <c r="C1764" s="0" t="s">
        <v>419</v>
      </c>
      <c r="D1764" s="0" t="n">
        <v>33</v>
      </c>
      <c r="E1764" s="0" t="s">
        <v>4217</v>
      </c>
      <c r="F1764" s="3" t="n">
        <f aca="false">D1764*_xlfn.XLOOKUP(C1764,Item_Master!A:A,Item_Master!G:G)</f>
        <v>68310</v>
      </c>
      <c r="G1764" s="0" t="str">
        <f aca="false">TEXT(B1764,"MMM YYYY")</f>
        <v>Mar 2026</v>
      </c>
    </row>
    <row r="1765" customFormat="false" ht="15" hidden="false" customHeight="false" outlineLevel="0" collapsed="false">
      <c r="A1765" s="0" t="s">
        <v>4218</v>
      </c>
      <c r="B1765" s="4" t="n">
        <v>46092</v>
      </c>
      <c r="C1765" s="0" t="s">
        <v>440</v>
      </c>
      <c r="D1765" s="0" t="n">
        <v>2</v>
      </c>
      <c r="E1765" s="0" t="s">
        <v>4219</v>
      </c>
      <c r="F1765" s="3" t="n">
        <f aca="false">D1765*_xlfn.XLOOKUP(C1765,Item_Master!A:A,Item_Master!G:G)</f>
        <v>2540</v>
      </c>
      <c r="G1765" s="0" t="str">
        <f aca="false">TEXT(B1765,"MMM YYYY")</f>
        <v>Mar 2026</v>
      </c>
    </row>
    <row r="1766" customFormat="false" ht="15" hidden="false" customHeight="false" outlineLevel="0" collapsed="false">
      <c r="A1766" s="0" t="s">
        <v>4220</v>
      </c>
      <c r="B1766" s="4" t="n">
        <v>46092</v>
      </c>
      <c r="C1766" s="0" t="s">
        <v>574</v>
      </c>
      <c r="D1766" s="0" t="n">
        <v>29</v>
      </c>
      <c r="E1766" s="0" t="s">
        <v>4221</v>
      </c>
      <c r="F1766" s="3" t="n">
        <f aca="false">D1766*_xlfn.XLOOKUP(C1766,Item_Master!A:A,Item_Master!G:G)</f>
        <v>80040</v>
      </c>
      <c r="G1766" s="0" t="str">
        <f aca="false">TEXT(B1766,"MMM YYYY")</f>
        <v>Mar 2026</v>
      </c>
    </row>
    <row r="1767" customFormat="false" ht="15" hidden="false" customHeight="false" outlineLevel="0" collapsed="false">
      <c r="A1767" s="0" t="s">
        <v>4222</v>
      </c>
      <c r="B1767" s="4" t="n">
        <v>46092</v>
      </c>
      <c r="C1767" s="0" t="s">
        <v>606</v>
      </c>
      <c r="D1767" s="0" t="n">
        <v>31</v>
      </c>
      <c r="E1767" s="0" t="s">
        <v>2209</v>
      </c>
      <c r="F1767" s="3" t="n">
        <f aca="false">D1767*_xlfn.XLOOKUP(C1767,Item_Master!A:A,Item_Master!G:G)</f>
        <v>56420</v>
      </c>
      <c r="G1767" s="0" t="str">
        <f aca="false">TEXT(B1767,"MMM YYYY")</f>
        <v>Mar 2026</v>
      </c>
    </row>
    <row r="1768" customFormat="false" ht="15" hidden="false" customHeight="false" outlineLevel="0" collapsed="false">
      <c r="A1768" s="0" t="s">
        <v>4223</v>
      </c>
      <c r="B1768" s="4" t="n">
        <v>46092</v>
      </c>
      <c r="C1768" s="0" t="s">
        <v>627</v>
      </c>
      <c r="D1768" s="0" t="n">
        <v>20</v>
      </c>
      <c r="E1768" s="0" t="s">
        <v>4224</v>
      </c>
      <c r="F1768" s="3" t="n">
        <f aca="false">D1768*_xlfn.XLOOKUP(C1768,Item_Master!A:A,Item_Master!G:G)</f>
        <v>143000</v>
      </c>
      <c r="G1768" s="0" t="str">
        <f aca="false">TEXT(B1768,"MMM YYYY")</f>
        <v>Mar 2026</v>
      </c>
    </row>
    <row r="1769" customFormat="false" ht="15" hidden="false" customHeight="false" outlineLevel="0" collapsed="false">
      <c r="A1769" s="0" t="s">
        <v>4225</v>
      </c>
      <c r="B1769" s="4" t="n">
        <v>46093</v>
      </c>
      <c r="C1769" s="0" t="s">
        <v>151</v>
      </c>
      <c r="D1769" s="0" t="n">
        <v>4</v>
      </c>
      <c r="E1769" s="0" t="s">
        <v>4226</v>
      </c>
      <c r="F1769" s="3" t="n">
        <f aca="false">D1769*_xlfn.XLOOKUP(C1769,Item_Master!A:A,Item_Master!G:G)</f>
        <v>10240</v>
      </c>
      <c r="G1769" s="0" t="str">
        <f aca="false">TEXT(B1769,"MMM YYYY")</f>
        <v>Mar 2026</v>
      </c>
    </row>
    <row r="1770" customFormat="false" ht="15" hidden="false" customHeight="false" outlineLevel="0" collapsed="false">
      <c r="A1770" s="0" t="s">
        <v>4227</v>
      </c>
      <c r="B1770" s="4" t="n">
        <v>46093</v>
      </c>
      <c r="C1770" s="0" t="s">
        <v>165</v>
      </c>
      <c r="D1770" s="0" t="n">
        <v>19</v>
      </c>
      <c r="E1770" s="0" t="s">
        <v>4228</v>
      </c>
      <c r="F1770" s="3" t="n">
        <f aca="false">D1770*_xlfn.XLOOKUP(C1770,Item_Master!A:A,Item_Master!G:G)</f>
        <v>18430</v>
      </c>
      <c r="G1770" s="0" t="str">
        <f aca="false">TEXT(B1770,"MMM YYYY")</f>
        <v>Mar 2026</v>
      </c>
    </row>
    <row r="1771" customFormat="false" ht="15" hidden="false" customHeight="false" outlineLevel="0" collapsed="false">
      <c r="A1771" s="0" t="s">
        <v>4229</v>
      </c>
      <c r="B1771" s="4" t="n">
        <v>46093</v>
      </c>
      <c r="C1771" s="0" t="s">
        <v>187</v>
      </c>
      <c r="D1771" s="0" t="n">
        <v>7</v>
      </c>
      <c r="E1771" s="0" t="s">
        <v>4230</v>
      </c>
      <c r="F1771" s="3" t="n">
        <f aca="false">D1771*_xlfn.XLOOKUP(C1771,Item_Master!A:A,Item_Master!G:G)</f>
        <v>4900</v>
      </c>
      <c r="G1771" s="0" t="str">
        <f aca="false">TEXT(B1771,"MMM YYYY")</f>
        <v>Mar 2026</v>
      </c>
    </row>
    <row r="1772" customFormat="false" ht="15" hidden="false" customHeight="false" outlineLevel="0" collapsed="false">
      <c r="A1772" s="0" t="s">
        <v>4231</v>
      </c>
      <c r="B1772" s="4" t="n">
        <v>46093</v>
      </c>
      <c r="C1772" s="0" t="s">
        <v>436</v>
      </c>
      <c r="D1772" s="0" t="n">
        <v>1</v>
      </c>
      <c r="E1772" s="0" t="s">
        <v>4232</v>
      </c>
      <c r="F1772" s="3" t="n">
        <f aca="false">D1772*_xlfn.XLOOKUP(C1772,Item_Master!A:A,Item_Master!G:G)</f>
        <v>2730</v>
      </c>
      <c r="G1772" s="0" t="str">
        <f aca="false">TEXT(B1772,"MMM YYYY")</f>
        <v>Mar 2026</v>
      </c>
    </row>
    <row r="1773" customFormat="false" ht="15" hidden="false" customHeight="false" outlineLevel="0" collapsed="false">
      <c r="A1773" s="0" t="s">
        <v>4233</v>
      </c>
      <c r="B1773" s="4" t="n">
        <v>46093</v>
      </c>
      <c r="C1773" s="0" t="s">
        <v>539</v>
      </c>
      <c r="D1773" s="0" t="n">
        <v>12</v>
      </c>
      <c r="E1773" s="0" t="s">
        <v>4234</v>
      </c>
      <c r="F1773" s="3" t="n">
        <f aca="false">D1773*_xlfn.XLOOKUP(C1773,Item_Master!A:A,Item_Master!G:G)</f>
        <v>59520</v>
      </c>
      <c r="G1773" s="0" t="str">
        <f aca="false">TEXT(B1773,"MMM YYYY")</f>
        <v>Mar 2026</v>
      </c>
    </row>
    <row r="1774" customFormat="false" ht="15" hidden="false" customHeight="false" outlineLevel="0" collapsed="false">
      <c r="A1774" s="0" t="s">
        <v>4235</v>
      </c>
      <c r="B1774" s="4" t="n">
        <v>46093</v>
      </c>
      <c r="C1774" s="0" t="s">
        <v>541</v>
      </c>
      <c r="D1774" s="0" t="n">
        <v>22</v>
      </c>
      <c r="E1774" s="0" t="s">
        <v>4236</v>
      </c>
      <c r="F1774" s="3" t="n">
        <f aca="false">D1774*_xlfn.XLOOKUP(C1774,Item_Master!A:A,Item_Master!G:G)</f>
        <v>25520</v>
      </c>
      <c r="G1774" s="0" t="str">
        <f aca="false">TEXT(B1774,"MMM YYYY")</f>
        <v>Mar 2026</v>
      </c>
    </row>
    <row r="1775" customFormat="false" ht="15" hidden="false" customHeight="false" outlineLevel="0" collapsed="false">
      <c r="A1775" s="0" t="s">
        <v>4237</v>
      </c>
      <c r="B1775" s="4" t="n">
        <v>46093</v>
      </c>
      <c r="C1775" s="0" t="s">
        <v>574</v>
      </c>
      <c r="D1775" s="0" t="n">
        <v>2</v>
      </c>
      <c r="E1775" s="0" t="s">
        <v>4238</v>
      </c>
      <c r="F1775" s="3" t="n">
        <f aca="false">D1775*_xlfn.XLOOKUP(C1775,Item_Master!A:A,Item_Master!G:G)</f>
        <v>5520</v>
      </c>
      <c r="G1775" s="0" t="str">
        <f aca="false">TEXT(B1775,"MMM YYYY")</f>
        <v>Mar 2026</v>
      </c>
    </row>
    <row r="1776" customFormat="false" ht="15" hidden="false" customHeight="false" outlineLevel="0" collapsed="false">
      <c r="A1776" s="0" t="s">
        <v>4239</v>
      </c>
      <c r="B1776" s="4" t="n">
        <v>46093</v>
      </c>
      <c r="C1776" s="0" t="s">
        <v>639</v>
      </c>
      <c r="D1776" s="0" t="n">
        <v>35</v>
      </c>
      <c r="E1776" s="0" t="s">
        <v>4240</v>
      </c>
      <c r="F1776" s="3" t="n">
        <f aca="false">D1776*_xlfn.XLOOKUP(C1776,Item_Master!A:A,Item_Master!G:G)</f>
        <v>20650</v>
      </c>
      <c r="G1776" s="0" t="str">
        <f aca="false">TEXT(B1776,"MMM YYYY")</f>
        <v>Mar 2026</v>
      </c>
    </row>
    <row r="1777" customFormat="false" ht="15" hidden="false" customHeight="false" outlineLevel="0" collapsed="false">
      <c r="A1777" s="0" t="s">
        <v>4241</v>
      </c>
      <c r="B1777" s="4" t="n">
        <v>46093</v>
      </c>
      <c r="C1777" s="0" t="s">
        <v>648</v>
      </c>
      <c r="D1777" s="0" t="n">
        <v>2</v>
      </c>
      <c r="E1777" s="0" t="s">
        <v>4242</v>
      </c>
      <c r="F1777" s="3" t="n">
        <f aca="false">D1777*_xlfn.XLOOKUP(C1777,Item_Master!A:A,Item_Master!G:G)</f>
        <v>46500</v>
      </c>
      <c r="G1777" s="0" t="str">
        <f aca="false">TEXT(B1777,"MMM YYYY")</f>
        <v>Mar 2026</v>
      </c>
    </row>
    <row r="1778" customFormat="false" ht="15" hidden="false" customHeight="false" outlineLevel="0" collapsed="false">
      <c r="A1778" s="0" t="s">
        <v>4243</v>
      </c>
      <c r="B1778" s="4" t="n">
        <v>46094</v>
      </c>
      <c r="C1778" s="0" t="s">
        <v>189</v>
      </c>
      <c r="D1778" s="0" t="n">
        <v>39</v>
      </c>
      <c r="E1778" s="0" t="s">
        <v>4244</v>
      </c>
      <c r="F1778" s="3" t="n">
        <f aca="false">D1778*_xlfn.XLOOKUP(C1778,Item_Master!A:A,Item_Master!G:G)</f>
        <v>187980</v>
      </c>
      <c r="G1778" s="0" t="str">
        <f aca="false">TEXT(B1778,"MMM YYYY")</f>
        <v>Mar 2026</v>
      </c>
    </row>
    <row r="1779" customFormat="false" ht="15" hidden="false" customHeight="false" outlineLevel="0" collapsed="false">
      <c r="A1779" s="0" t="s">
        <v>4245</v>
      </c>
      <c r="B1779" s="4" t="n">
        <v>46094</v>
      </c>
      <c r="C1779" s="0" t="s">
        <v>207</v>
      </c>
      <c r="D1779" s="0" t="n">
        <v>29</v>
      </c>
      <c r="E1779" s="0" t="s">
        <v>4246</v>
      </c>
      <c r="F1779" s="3" t="n">
        <f aca="false">D1779*_xlfn.XLOOKUP(C1779,Item_Master!A:A,Item_Master!G:G)</f>
        <v>75110</v>
      </c>
      <c r="G1779" s="0" t="str">
        <f aca="false">TEXT(B1779,"MMM YYYY")</f>
        <v>Mar 2026</v>
      </c>
    </row>
    <row r="1780" customFormat="false" ht="15" hidden="false" customHeight="false" outlineLevel="0" collapsed="false">
      <c r="A1780" s="0" t="s">
        <v>4247</v>
      </c>
      <c r="B1780" s="4" t="n">
        <v>46094</v>
      </c>
      <c r="C1780" s="0" t="s">
        <v>275</v>
      </c>
      <c r="D1780" s="0" t="n">
        <v>8</v>
      </c>
      <c r="E1780" s="0" t="s">
        <v>4248</v>
      </c>
      <c r="F1780" s="3" t="n">
        <f aca="false">D1780*_xlfn.XLOOKUP(C1780,Item_Master!A:A,Item_Master!G:G)</f>
        <v>33920</v>
      </c>
      <c r="G1780" s="0" t="str">
        <f aca="false">TEXT(B1780,"MMM YYYY")</f>
        <v>Mar 2026</v>
      </c>
    </row>
    <row r="1781" customFormat="false" ht="15" hidden="false" customHeight="false" outlineLevel="0" collapsed="false">
      <c r="A1781" s="0" t="s">
        <v>4249</v>
      </c>
      <c r="B1781" s="4" t="n">
        <v>46094</v>
      </c>
      <c r="C1781" s="0" t="s">
        <v>326</v>
      </c>
      <c r="D1781" s="0" t="n">
        <v>37</v>
      </c>
      <c r="E1781" s="0" t="s">
        <v>4250</v>
      </c>
      <c r="F1781" s="3" t="n">
        <f aca="false">D1781*_xlfn.XLOOKUP(C1781,Item_Master!A:A,Item_Master!G:G)</f>
        <v>647870</v>
      </c>
      <c r="G1781" s="0" t="str">
        <f aca="false">TEXT(B1781,"MMM YYYY")</f>
        <v>Mar 2026</v>
      </c>
    </row>
    <row r="1782" customFormat="false" ht="15" hidden="false" customHeight="false" outlineLevel="0" collapsed="false">
      <c r="A1782" s="0" t="s">
        <v>4251</v>
      </c>
      <c r="B1782" s="4" t="n">
        <v>46094</v>
      </c>
      <c r="C1782" s="0" t="s">
        <v>336</v>
      </c>
      <c r="D1782" s="0" t="n">
        <v>8</v>
      </c>
      <c r="E1782" s="0" t="s">
        <v>4252</v>
      </c>
      <c r="F1782" s="3" t="n">
        <f aca="false">D1782*_xlfn.XLOOKUP(C1782,Item_Master!A:A,Item_Master!G:G)</f>
        <v>27280</v>
      </c>
      <c r="G1782" s="0" t="str">
        <f aca="false">TEXT(B1782,"MMM YYYY")</f>
        <v>Mar 2026</v>
      </c>
    </row>
    <row r="1783" customFormat="false" ht="15" hidden="false" customHeight="false" outlineLevel="0" collapsed="false">
      <c r="A1783" s="0" t="s">
        <v>4253</v>
      </c>
      <c r="B1783" s="4" t="n">
        <v>46094</v>
      </c>
      <c r="C1783" s="0" t="s">
        <v>349</v>
      </c>
      <c r="D1783" s="0" t="n">
        <v>23</v>
      </c>
      <c r="E1783" s="0" t="s">
        <v>4254</v>
      </c>
      <c r="F1783" s="3" t="n">
        <f aca="false">D1783*_xlfn.XLOOKUP(C1783,Item_Master!A:A,Item_Master!G:G)</f>
        <v>65090</v>
      </c>
      <c r="G1783" s="0" t="str">
        <f aca="false">TEXT(B1783,"MMM YYYY")</f>
        <v>Mar 2026</v>
      </c>
    </row>
    <row r="1784" customFormat="false" ht="15" hidden="false" customHeight="false" outlineLevel="0" collapsed="false">
      <c r="A1784" s="0" t="s">
        <v>4255</v>
      </c>
      <c r="B1784" s="4" t="n">
        <v>46094</v>
      </c>
      <c r="C1784" s="0" t="s">
        <v>411</v>
      </c>
      <c r="D1784" s="0" t="n">
        <v>40</v>
      </c>
      <c r="E1784" s="0" t="s">
        <v>4256</v>
      </c>
      <c r="F1784" s="3" t="n">
        <f aca="false">D1784*_xlfn.XLOOKUP(C1784,Item_Master!A:A,Item_Master!G:G)</f>
        <v>547600</v>
      </c>
      <c r="G1784" s="0" t="str">
        <f aca="false">TEXT(B1784,"MMM YYYY")</f>
        <v>Mar 2026</v>
      </c>
    </row>
    <row r="1785" customFormat="false" ht="15" hidden="false" customHeight="false" outlineLevel="0" collapsed="false">
      <c r="A1785" s="0" t="s">
        <v>4257</v>
      </c>
      <c r="B1785" s="4" t="n">
        <v>46094</v>
      </c>
      <c r="C1785" s="0" t="s">
        <v>446</v>
      </c>
      <c r="D1785" s="0" t="n">
        <v>35</v>
      </c>
      <c r="E1785" s="0" t="s">
        <v>4258</v>
      </c>
      <c r="F1785" s="3" t="n">
        <f aca="false">D1785*_xlfn.XLOOKUP(C1785,Item_Master!A:A,Item_Master!G:G)</f>
        <v>61250</v>
      </c>
      <c r="G1785" s="0" t="str">
        <f aca="false">TEXT(B1785,"MMM YYYY")</f>
        <v>Mar 2026</v>
      </c>
    </row>
    <row r="1786" customFormat="false" ht="15" hidden="false" customHeight="false" outlineLevel="0" collapsed="false">
      <c r="A1786" s="0" t="s">
        <v>4259</v>
      </c>
      <c r="B1786" s="4" t="n">
        <v>46094</v>
      </c>
      <c r="C1786" s="0" t="s">
        <v>509</v>
      </c>
      <c r="D1786" s="0" t="n">
        <v>1</v>
      </c>
      <c r="E1786" s="0" t="s">
        <v>4260</v>
      </c>
      <c r="F1786" s="3" t="n">
        <f aca="false">D1786*_xlfn.XLOOKUP(C1786,Item_Master!A:A,Item_Master!G:G)</f>
        <v>380</v>
      </c>
      <c r="G1786" s="0" t="str">
        <f aca="false">TEXT(B1786,"MMM YYYY")</f>
        <v>Mar 2026</v>
      </c>
    </row>
    <row r="1787" customFormat="false" ht="15" hidden="false" customHeight="false" outlineLevel="0" collapsed="false">
      <c r="A1787" s="0" t="s">
        <v>4261</v>
      </c>
      <c r="B1787" s="4" t="n">
        <v>46094</v>
      </c>
      <c r="C1787" s="0" t="s">
        <v>551</v>
      </c>
      <c r="D1787" s="0" t="n">
        <v>5</v>
      </c>
      <c r="E1787" s="0" t="s">
        <v>4262</v>
      </c>
      <c r="F1787" s="3" t="n">
        <f aca="false">D1787*_xlfn.XLOOKUP(C1787,Item_Master!A:A,Item_Master!G:G)</f>
        <v>59600</v>
      </c>
      <c r="G1787" s="0" t="str">
        <f aca="false">TEXT(B1787,"MMM YYYY")</f>
        <v>Mar 2026</v>
      </c>
    </row>
    <row r="1788" customFormat="false" ht="15" hidden="false" customHeight="false" outlineLevel="0" collapsed="false">
      <c r="A1788" s="0" t="s">
        <v>4263</v>
      </c>
      <c r="B1788" s="4" t="n">
        <v>46095</v>
      </c>
      <c r="C1788" s="0" t="s">
        <v>13</v>
      </c>
      <c r="D1788" s="0" t="n">
        <v>33</v>
      </c>
      <c r="E1788" s="0" t="s">
        <v>4264</v>
      </c>
      <c r="F1788" s="3" t="n">
        <f aca="false">D1788*_xlfn.XLOOKUP(C1788,Item_Master!A:A,Item_Master!G:G)</f>
        <v>69960</v>
      </c>
      <c r="G1788" s="0" t="str">
        <f aca="false">TEXT(B1788,"MMM YYYY")</f>
        <v>Mar 2026</v>
      </c>
    </row>
    <row r="1789" customFormat="false" ht="15" hidden="false" customHeight="false" outlineLevel="0" collapsed="false">
      <c r="A1789" s="0" t="s">
        <v>4265</v>
      </c>
      <c r="B1789" s="4" t="n">
        <v>46095</v>
      </c>
      <c r="C1789" s="0" t="s">
        <v>58</v>
      </c>
      <c r="D1789" s="0" t="n">
        <v>2</v>
      </c>
      <c r="E1789" s="0" t="s">
        <v>4266</v>
      </c>
      <c r="F1789" s="3" t="n">
        <f aca="false">D1789*_xlfn.XLOOKUP(C1789,Item_Master!A:A,Item_Master!G:G)</f>
        <v>2020</v>
      </c>
      <c r="G1789" s="0" t="str">
        <f aca="false">TEXT(B1789,"MMM YYYY")</f>
        <v>Mar 2026</v>
      </c>
    </row>
    <row r="1790" customFormat="false" ht="15" hidden="false" customHeight="false" outlineLevel="0" collapsed="false">
      <c r="A1790" s="0" t="s">
        <v>4267</v>
      </c>
      <c r="B1790" s="4" t="n">
        <v>46095</v>
      </c>
      <c r="C1790" s="0" t="s">
        <v>163</v>
      </c>
      <c r="D1790" s="0" t="n">
        <v>1</v>
      </c>
      <c r="E1790" s="0" t="s">
        <v>4268</v>
      </c>
      <c r="F1790" s="3" t="n">
        <f aca="false">D1790*_xlfn.XLOOKUP(C1790,Item_Master!A:A,Item_Master!G:G)</f>
        <v>18730</v>
      </c>
      <c r="G1790" s="0" t="str">
        <f aca="false">TEXT(B1790,"MMM YYYY")</f>
        <v>Mar 2026</v>
      </c>
    </row>
    <row r="1791" customFormat="false" ht="15" hidden="false" customHeight="false" outlineLevel="0" collapsed="false">
      <c r="A1791" s="0" t="s">
        <v>4269</v>
      </c>
      <c r="B1791" s="4" t="n">
        <v>46095</v>
      </c>
      <c r="C1791" s="0" t="s">
        <v>178</v>
      </c>
      <c r="D1791" s="0" t="n">
        <v>5</v>
      </c>
      <c r="E1791" s="0" t="s">
        <v>4270</v>
      </c>
      <c r="F1791" s="3" t="n">
        <f aca="false">D1791*_xlfn.XLOOKUP(C1791,Item_Master!A:A,Item_Master!G:G)</f>
        <v>6550</v>
      </c>
      <c r="G1791" s="0" t="str">
        <f aca="false">TEXT(B1791,"MMM YYYY")</f>
        <v>Mar 2026</v>
      </c>
    </row>
    <row r="1792" customFormat="false" ht="15" hidden="false" customHeight="false" outlineLevel="0" collapsed="false">
      <c r="A1792" s="0" t="s">
        <v>4271</v>
      </c>
      <c r="B1792" s="4" t="n">
        <v>46095</v>
      </c>
      <c r="C1792" s="0" t="s">
        <v>187</v>
      </c>
      <c r="D1792" s="0" t="n">
        <v>40</v>
      </c>
      <c r="E1792" s="0" t="s">
        <v>4272</v>
      </c>
      <c r="F1792" s="3" t="n">
        <f aca="false">D1792*_xlfn.XLOOKUP(C1792,Item_Master!A:A,Item_Master!G:G)</f>
        <v>28000</v>
      </c>
      <c r="G1792" s="0" t="str">
        <f aca="false">TEXT(B1792,"MMM YYYY")</f>
        <v>Mar 2026</v>
      </c>
    </row>
    <row r="1793" customFormat="false" ht="15" hidden="false" customHeight="false" outlineLevel="0" collapsed="false">
      <c r="A1793" s="0" t="s">
        <v>4273</v>
      </c>
      <c r="B1793" s="4" t="n">
        <v>46095</v>
      </c>
      <c r="C1793" s="0" t="s">
        <v>223</v>
      </c>
      <c r="D1793" s="0" t="n">
        <v>3</v>
      </c>
      <c r="E1793" s="0" t="s">
        <v>4274</v>
      </c>
      <c r="F1793" s="3" t="n">
        <f aca="false">D1793*_xlfn.XLOOKUP(C1793,Item_Master!A:A,Item_Master!G:G)</f>
        <v>780</v>
      </c>
      <c r="G1793" s="0" t="str">
        <f aca="false">TEXT(B1793,"MMM YYYY")</f>
        <v>Mar 2026</v>
      </c>
    </row>
    <row r="1794" customFormat="false" ht="15" hidden="false" customHeight="false" outlineLevel="0" collapsed="false">
      <c r="A1794" s="0" t="s">
        <v>4275</v>
      </c>
      <c r="B1794" s="4" t="n">
        <v>46095</v>
      </c>
      <c r="C1794" s="0" t="s">
        <v>241</v>
      </c>
      <c r="D1794" s="0" t="n">
        <v>5</v>
      </c>
      <c r="E1794" s="0" t="s">
        <v>4276</v>
      </c>
      <c r="F1794" s="3" t="n">
        <f aca="false">D1794*_xlfn.XLOOKUP(C1794,Item_Master!A:A,Item_Master!G:G)</f>
        <v>13600</v>
      </c>
      <c r="G1794" s="0" t="str">
        <f aca="false">TEXT(B1794,"MMM YYYY")</f>
        <v>Mar 2026</v>
      </c>
    </row>
    <row r="1795" customFormat="false" ht="15" hidden="false" customHeight="false" outlineLevel="0" collapsed="false">
      <c r="A1795" s="0" t="s">
        <v>4277</v>
      </c>
      <c r="B1795" s="4" t="n">
        <v>46095</v>
      </c>
      <c r="C1795" s="0" t="s">
        <v>281</v>
      </c>
      <c r="D1795" s="0" t="n">
        <v>5</v>
      </c>
      <c r="E1795" s="0" t="s">
        <v>4278</v>
      </c>
      <c r="F1795" s="3" t="n">
        <f aca="false">D1795*_xlfn.XLOOKUP(C1795,Item_Master!A:A,Item_Master!G:G)</f>
        <v>3850</v>
      </c>
      <c r="G1795" s="0" t="str">
        <f aca="false">TEXT(B1795,"MMM YYYY")</f>
        <v>Mar 2026</v>
      </c>
    </row>
    <row r="1796" customFormat="false" ht="15" hidden="false" customHeight="false" outlineLevel="0" collapsed="false">
      <c r="A1796" s="0" t="s">
        <v>4279</v>
      </c>
      <c r="B1796" s="4" t="n">
        <v>46095</v>
      </c>
      <c r="C1796" s="0" t="s">
        <v>562</v>
      </c>
      <c r="D1796" s="0" t="n">
        <v>1</v>
      </c>
      <c r="E1796" s="0" t="s">
        <v>4280</v>
      </c>
      <c r="F1796" s="3" t="n">
        <f aca="false">D1796*_xlfn.XLOOKUP(C1796,Item_Master!A:A,Item_Master!G:G)</f>
        <v>1430</v>
      </c>
      <c r="G1796" s="0" t="str">
        <f aca="false">TEXT(B1796,"MMM YYYY")</f>
        <v>Mar 2026</v>
      </c>
    </row>
    <row r="1797" customFormat="false" ht="15" hidden="false" customHeight="false" outlineLevel="0" collapsed="false">
      <c r="A1797" s="0" t="s">
        <v>4281</v>
      </c>
      <c r="B1797" s="4" t="n">
        <v>46095</v>
      </c>
      <c r="C1797" s="0" t="s">
        <v>659</v>
      </c>
      <c r="D1797" s="0" t="n">
        <v>1</v>
      </c>
      <c r="E1797" s="0" t="s">
        <v>4282</v>
      </c>
      <c r="F1797" s="3" t="n">
        <f aca="false">D1797*_xlfn.XLOOKUP(C1797,Item_Master!A:A,Item_Master!G:G)</f>
        <v>3470</v>
      </c>
      <c r="G1797" s="0" t="str">
        <f aca="false">TEXT(B1797,"MMM YYYY")</f>
        <v>Mar 2026</v>
      </c>
    </row>
    <row r="1798" customFormat="false" ht="15" hidden="false" customHeight="false" outlineLevel="0" collapsed="false">
      <c r="A1798" s="0" t="s">
        <v>4283</v>
      </c>
      <c r="B1798" s="4" t="n">
        <v>46095</v>
      </c>
      <c r="C1798" s="0" t="s">
        <v>694</v>
      </c>
      <c r="D1798" s="0" t="n">
        <v>23</v>
      </c>
      <c r="E1798" s="0" t="s">
        <v>4284</v>
      </c>
      <c r="F1798" s="3" t="n">
        <f aca="false">D1798*_xlfn.XLOOKUP(C1798,Item_Master!A:A,Item_Master!G:G)</f>
        <v>572930</v>
      </c>
      <c r="G1798" s="0" t="str">
        <f aca="false">TEXT(B1798,"MMM YYYY")</f>
        <v>Mar 2026</v>
      </c>
    </row>
    <row r="1799" customFormat="false" ht="15" hidden="false" customHeight="false" outlineLevel="0" collapsed="false">
      <c r="A1799" s="0" t="s">
        <v>4285</v>
      </c>
      <c r="B1799" s="4" t="n">
        <v>46096</v>
      </c>
      <c r="C1799" s="0" t="s">
        <v>58</v>
      </c>
      <c r="D1799" s="0" t="n">
        <v>38</v>
      </c>
      <c r="E1799" s="0" t="s">
        <v>4286</v>
      </c>
      <c r="F1799" s="3" t="n">
        <f aca="false">D1799*_xlfn.XLOOKUP(C1799,Item_Master!A:A,Item_Master!G:G)</f>
        <v>38380</v>
      </c>
      <c r="G1799" s="0" t="str">
        <f aca="false">TEXT(B1799,"MMM YYYY")</f>
        <v>Mar 2026</v>
      </c>
    </row>
    <row r="1800" customFormat="false" ht="15" hidden="false" customHeight="false" outlineLevel="0" collapsed="false">
      <c r="A1800" s="0" t="s">
        <v>4287</v>
      </c>
      <c r="B1800" s="4" t="n">
        <v>46096</v>
      </c>
      <c r="C1800" s="0" t="s">
        <v>139</v>
      </c>
      <c r="D1800" s="0" t="n">
        <v>35</v>
      </c>
      <c r="E1800" s="0" t="s">
        <v>4288</v>
      </c>
      <c r="F1800" s="3" t="n">
        <f aca="false">D1800*_xlfn.XLOOKUP(C1800,Item_Master!A:A,Item_Master!G:G)</f>
        <v>711200</v>
      </c>
      <c r="G1800" s="0" t="str">
        <f aca="false">TEXT(B1800,"MMM YYYY")</f>
        <v>Mar 2026</v>
      </c>
    </row>
    <row r="1801" customFormat="false" ht="15" hidden="false" customHeight="false" outlineLevel="0" collapsed="false">
      <c r="A1801" s="0" t="s">
        <v>4289</v>
      </c>
      <c r="B1801" s="4" t="n">
        <v>46096</v>
      </c>
      <c r="C1801" s="0" t="s">
        <v>165</v>
      </c>
      <c r="D1801" s="0" t="n">
        <v>33</v>
      </c>
      <c r="E1801" s="0" t="s">
        <v>4290</v>
      </c>
      <c r="F1801" s="3" t="n">
        <f aca="false">D1801*_xlfn.XLOOKUP(C1801,Item_Master!A:A,Item_Master!G:G)</f>
        <v>32010</v>
      </c>
      <c r="G1801" s="0" t="str">
        <f aca="false">TEXT(B1801,"MMM YYYY")</f>
        <v>Mar 2026</v>
      </c>
    </row>
    <row r="1802" customFormat="false" ht="15" hidden="false" customHeight="false" outlineLevel="0" collapsed="false">
      <c r="A1802" s="0" t="s">
        <v>4291</v>
      </c>
      <c r="B1802" s="4" t="n">
        <v>46096</v>
      </c>
      <c r="C1802" s="0" t="s">
        <v>221</v>
      </c>
      <c r="D1802" s="0" t="n">
        <v>13</v>
      </c>
      <c r="E1802" s="0" t="s">
        <v>4292</v>
      </c>
      <c r="F1802" s="3" t="n">
        <f aca="false">D1802*_xlfn.XLOOKUP(C1802,Item_Master!A:A,Item_Master!G:G)</f>
        <v>20410</v>
      </c>
      <c r="G1802" s="0" t="str">
        <f aca="false">TEXT(B1802,"MMM YYYY")</f>
        <v>Mar 2026</v>
      </c>
    </row>
    <row r="1803" customFormat="false" ht="15" hidden="false" customHeight="false" outlineLevel="0" collapsed="false">
      <c r="A1803" s="0" t="s">
        <v>4293</v>
      </c>
      <c r="B1803" s="4" t="n">
        <v>46096</v>
      </c>
      <c r="C1803" s="0" t="s">
        <v>300</v>
      </c>
      <c r="D1803" s="0" t="n">
        <v>13</v>
      </c>
      <c r="E1803" s="0" t="s">
        <v>4294</v>
      </c>
      <c r="F1803" s="3" t="n">
        <f aca="false">D1803*_xlfn.XLOOKUP(C1803,Item_Master!A:A,Item_Master!G:G)</f>
        <v>33150</v>
      </c>
      <c r="G1803" s="0" t="str">
        <f aca="false">TEXT(B1803,"MMM YYYY")</f>
        <v>Mar 2026</v>
      </c>
    </row>
    <row r="1804" customFormat="false" ht="15" hidden="false" customHeight="false" outlineLevel="0" collapsed="false">
      <c r="A1804" s="0" t="s">
        <v>4295</v>
      </c>
      <c r="B1804" s="4" t="n">
        <v>46096</v>
      </c>
      <c r="C1804" s="0" t="s">
        <v>456</v>
      </c>
      <c r="D1804" s="0" t="n">
        <v>39</v>
      </c>
      <c r="E1804" s="0" t="s">
        <v>4296</v>
      </c>
      <c r="F1804" s="3" t="n">
        <f aca="false">D1804*_xlfn.XLOOKUP(C1804,Item_Master!A:A,Item_Master!G:G)</f>
        <v>25350</v>
      </c>
      <c r="G1804" s="0" t="str">
        <f aca="false">TEXT(B1804,"MMM YYYY")</f>
        <v>Mar 2026</v>
      </c>
    </row>
    <row r="1805" customFormat="false" ht="15" hidden="false" customHeight="false" outlineLevel="0" collapsed="false">
      <c r="A1805" s="0" t="s">
        <v>4297</v>
      </c>
      <c r="B1805" s="4" t="n">
        <v>46096</v>
      </c>
      <c r="C1805" s="0" t="s">
        <v>469</v>
      </c>
      <c r="D1805" s="0" t="n">
        <v>21</v>
      </c>
      <c r="E1805" s="0" t="s">
        <v>4298</v>
      </c>
      <c r="F1805" s="3" t="n">
        <f aca="false">D1805*_xlfn.XLOOKUP(C1805,Item_Master!A:A,Item_Master!G:G)</f>
        <v>87360</v>
      </c>
      <c r="G1805" s="0" t="str">
        <f aca="false">TEXT(B1805,"MMM YYYY")</f>
        <v>Mar 2026</v>
      </c>
    </row>
    <row r="1806" customFormat="false" ht="15" hidden="false" customHeight="false" outlineLevel="0" collapsed="false">
      <c r="A1806" s="0" t="s">
        <v>4299</v>
      </c>
      <c r="B1806" s="4" t="n">
        <v>46096</v>
      </c>
      <c r="C1806" s="0" t="s">
        <v>474</v>
      </c>
      <c r="D1806" s="0" t="n">
        <v>25</v>
      </c>
      <c r="E1806" s="0" t="s">
        <v>4300</v>
      </c>
      <c r="F1806" s="3" t="n">
        <f aca="false">D1806*_xlfn.XLOOKUP(C1806,Item_Master!A:A,Item_Master!G:G)</f>
        <v>228000</v>
      </c>
      <c r="G1806" s="0" t="str">
        <f aca="false">TEXT(B1806,"MMM YYYY")</f>
        <v>Mar 2026</v>
      </c>
    </row>
    <row r="1807" customFormat="false" ht="15" hidden="false" customHeight="false" outlineLevel="0" collapsed="false">
      <c r="A1807" s="0" t="s">
        <v>4301</v>
      </c>
      <c r="B1807" s="4" t="n">
        <v>46096</v>
      </c>
      <c r="C1807" s="0" t="s">
        <v>632</v>
      </c>
      <c r="D1807" s="0" t="n">
        <v>40</v>
      </c>
      <c r="E1807" s="0" t="s">
        <v>4302</v>
      </c>
      <c r="F1807" s="3" t="n">
        <f aca="false">D1807*_xlfn.XLOOKUP(C1807,Item_Master!A:A,Item_Master!G:G)</f>
        <v>258000</v>
      </c>
      <c r="G1807" s="0" t="str">
        <f aca="false">TEXT(B1807,"MMM YYYY")</f>
        <v>Mar 2026</v>
      </c>
    </row>
    <row r="1808" customFormat="false" ht="15" hidden="false" customHeight="false" outlineLevel="0" collapsed="false">
      <c r="A1808" s="0" t="s">
        <v>4303</v>
      </c>
      <c r="B1808" s="4" t="n">
        <v>46096</v>
      </c>
      <c r="C1808" s="0" t="s">
        <v>637</v>
      </c>
      <c r="D1808" s="0" t="n">
        <v>14</v>
      </c>
      <c r="E1808" s="0" t="s">
        <v>4304</v>
      </c>
      <c r="F1808" s="3" t="n">
        <f aca="false">D1808*_xlfn.XLOOKUP(C1808,Item_Master!A:A,Item_Master!G:G)</f>
        <v>7140</v>
      </c>
      <c r="G1808" s="0" t="str">
        <f aca="false">TEXT(B1808,"MMM YYYY")</f>
        <v>Mar 2026</v>
      </c>
    </row>
    <row r="1809" customFormat="false" ht="15" hidden="false" customHeight="false" outlineLevel="0" collapsed="false">
      <c r="A1809" s="0" t="s">
        <v>4305</v>
      </c>
      <c r="B1809" s="4" t="n">
        <v>46096</v>
      </c>
      <c r="C1809" s="0" t="s">
        <v>639</v>
      </c>
      <c r="D1809" s="0" t="n">
        <v>16</v>
      </c>
      <c r="E1809" s="0" t="s">
        <v>4306</v>
      </c>
      <c r="F1809" s="3" t="n">
        <f aca="false">D1809*_xlfn.XLOOKUP(C1809,Item_Master!A:A,Item_Master!G:G)</f>
        <v>9440</v>
      </c>
      <c r="G1809" s="0" t="str">
        <f aca="false">TEXT(B1809,"MMM YYYY")</f>
        <v>Mar 2026</v>
      </c>
    </row>
    <row r="1810" customFormat="false" ht="15" hidden="false" customHeight="false" outlineLevel="0" collapsed="false">
      <c r="A1810" s="0" t="s">
        <v>4307</v>
      </c>
      <c r="B1810" s="4" t="n">
        <v>46096</v>
      </c>
      <c r="C1810" s="0" t="s">
        <v>679</v>
      </c>
      <c r="D1810" s="0" t="n">
        <v>7</v>
      </c>
      <c r="E1810" s="0" t="s">
        <v>4308</v>
      </c>
      <c r="F1810" s="3" t="n">
        <f aca="false">D1810*_xlfn.XLOOKUP(C1810,Item_Master!A:A,Item_Master!G:G)</f>
        <v>19250</v>
      </c>
      <c r="G1810" s="0" t="str">
        <f aca="false">TEXT(B1810,"MMM YYYY")</f>
        <v>Mar 2026</v>
      </c>
    </row>
    <row r="1811" customFormat="false" ht="15" hidden="false" customHeight="false" outlineLevel="0" collapsed="false">
      <c r="A1811" s="0" t="s">
        <v>4309</v>
      </c>
      <c r="B1811" s="4" t="n">
        <v>46097</v>
      </c>
      <c r="C1811" s="0" t="s">
        <v>100</v>
      </c>
      <c r="D1811" s="0" t="n">
        <v>7</v>
      </c>
      <c r="E1811" s="0" t="s">
        <v>4310</v>
      </c>
      <c r="F1811" s="3" t="n">
        <f aca="false">D1811*_xlfn.XLOOKUP(C1811,Item_Master!A:A,Item_Master!G:G)</f>
        <v>70770</v>
      </c>
      <c r="G1811" s="0" t="str">
        <f aca="false">TEXT(B1811,"MMM YYYY")</f>
        <v>Mar 2026</v>
      </c>
    </row>
    <row r="1812" customFormat="false" ht="15" hidden="false" customHeight="false" outlineLevel="0" collapsed="false">
      <c r="A1812" s="0" t="s">
        <v>4311</v>
      </c>
      <c r="B1812" s="4" t="n">
        <v>46097</v>
      </c>
      <c r="C1812" s="0" t="s">
        <v>227</v>
      </c>
      <c r="D1812" s="0" t="n">
        <v>37</v>
      </c>
      <c r="E1812" s="0" t="s">
        <v>4312</v>
      </c>
      <c r="F1812" s="3" t="n">
        <f aca="false">D1812*_xlfn.XLOOKUP(C1812,Item_Master!A:A,Item_Master!G:G)</f>
        <v>987160</v>
      </c>
      <c r="G1812" s="0" t="str">
        <f aca="false">TEXT(B1812,"MMM YYYY")</f>
        <v>Mar 2026</v>
      </c>
    </row>
    <row r="1813" customFormat="false" ht="15" hidden="false" customHeight="false" outlineLevel="0" collapsed="false">
      <c r="A1813" s="0" t="s">
        <v>4313</v>
      </c>
      <c r="B1813" s="4" t="n">
        <v>46097</v>
      </c>
      <c r="C1813" s="0" t="s">
        <v>324</v>
      </c>
      <c r="D1813" s="0" t="n">
        <v>37</v>
      </c>
      <c r="E1813" s="0" t="s">
        <v>4314</v>
      </c>
      <c r="F1813" s="3" t="n">
        <f aca="false">D1813*_xlfn.XLOOKUP(C1813,Item_Master!A:A,Item_Master!G:G)</f>
        <v>739260</v>
      </c>
      <c r="G1813" s="0" t="str">
        <f aca="false">TEXT(B1813,"MMM YYYY")</f>
        <v>Mar 2026</v>
      </c>
    </row>
    <row r="1814" customFormat="false" ht="15" hidden="false" customHeight="false" outlineLevel="0" collapsed="false">
      <c r="A1814" s="0" t="s">
        <v>4315</v>
      </c>
      <c r="B1814" s="4" t="n">
        <v>46097</v>
      </c>
      <c r="C1814" s="0" t="s">
        <v>372</v>
      </c>
      <c r="D1814" s="0" t="n">
        <v>28</v>
      </c>
      <c r="E1814" s="0" t="s">
        <v>4316</v>
      </c>
      <c r="F1814" s="3" t="n">
        <f aca="false">D1814*_xlfn.XLOOKUP(C1814,Item_Master!A:A,Item_Master!G:G)</f>
        <v>124600</v>
      </c>
      <c r="G1814" s="0" t="str">
        <f aca="false">TEXT(B1814,"MMM YYYY")</f>
        <v>Mar 2026</v>
      </c>
    </row>
    <row r="1815" customFormat="false" ht="15" hidden="false" customHeight="false" outlineLevel="0" collapsed="false">
      <c r="A1815" s="0" t="s">
        <v>4317</v>
      </c>
      <c r="B1815" s="4" t="n">
        <v>46097</v>
      </c>
      <c r="C1815" s="0" t="s">
        <v>489</v>
      </c>
      <c r="D1815" s="0" t="n">
        <v>38</v>
      </c>
      <c r="E1815" s="0" t="s">
        <v>4318</v>
      </c>
      <c r="F1815" s="3" t="n">
        <f aca="false">D1815*_xlfn.XLOOKUP(C1815,Item_Master!A:A,Item_Master!G:G)</f>
        <v>307040</v>
      </c>
      <c r="G1815" s="0" t="str">
        <f aca="false">TEXT(B1815,"MMM YYYY")</f>
        <v>Mar 2026</v>
      </c>
    </row>
    <row r="1816" customFormat="false" ht="15" hidden="false" customHeight="false" outlineLevel="0" collapsed="false">
      <c r="A1816" s="0" t="s">
        <v>4319</v>
      </c>
      <c r="B1816" s="4" t="n">
        <v>46097</v>
      </c>
      <c r="C1816" s="0" t="s">
        <v>588</v>
      </c>
      <c r="D1816" s="0" t="n">
        <v>4</v>
      </c>
      <c r="E1816" s="0" t="s">
        <v>4320</v>
      </c>
      <c r="F1816" s="3" t="n">
        <f aca="false">D1816*_xlfn.XLOOKUP(C1816,Item_Master!A:A,Item_Master!G:G)</f>
        <v>12280</v>
      </c>
      <c r="G1816" s="0" t="str">
        <f aca="false">TEXT(B1816,"MMM YYYY")</f>
        <v>Mar 2026</v>
      </c>
    </row>
    <row r="1817" customFormat="false" ht="15" hidden="false" customHeight="false" outlineLevel="0" collapsed="false">
      <c r="A1817" s="0" t="s">
        <v>4321</v>
      </c>
      <c r="B1817" s="4" t="n">
        <v>46098</v>
      </c>
      <c r="C1817" s="0" t="s">
        <v>47</v>
      </c>
      <c r="D1817" s="0" t="n">
        <v>12</v>
      </c>
      <c r="E1817" s="0" t="s">
        <v>4322</v>
      </c>
      <c r="F1817" s="3" t="n">
        <f aca="false">D1817*_xlfn.XLOOKUP(C1817,Item_Master!A:A,Item_Master!G:G)</f>
        <v>3600</v>
      </c>
      <c r="G1817" s="0" t="str">
        <f aca="false">TEXT(B1817,"MMM YYYY")</f>
        <v>Mar 2026</v>
      </c>
    </row>
    <row r="1818" customFormat="false" ht="15" hidden="false" customHeight="false" outlineLevel="0" collapsed="false">
      <c r="A1818" s="0" t="s">
        <v>4323</v>
      </c>
      <c r="B1818" s="4" t="n">
        <v>46098</v>
      </c>
      <c r="C1818" s="0" t="s">
        <v>55</v>
      </c>
      <c r="D1818" s="0" t="n">
        <v>11</v>
      </c>
      <c r="E1818" s="0" t="s">
        <v>2565</v>
      </c>
      <c r="F1818" s="3" t="n">
        <f aca="false">D1818*_xlfn.XLOOKUP(C1818,Item_Master!A:A,Item_Master!G:G)</f>
        <v>32120</v>
      </c>
      <c r="G1818" s="0" t="str">
        <f aca="false">TEXT(B1818,"MMM YYYY")</f>
        <v>Mar 2026</v>
      </c>
    </row>
    <row r="1819" customFormat="false" ht="15" hidden="false" customHeight="false" outlineLevel="0" collapsed="false">
      <c r="A1819" s="0" t="s">
        <v>4324</v>
      </c>
      <c r="B1819" s="4" t="n">
        <v>46098</v>
      </c>
      <c r="C1819" s="0" t="s">
        <v>75</v>
      </c>
      <c r="D1819" s="0" t="n">
        <v>4</v>
      </c>
      <c r="E1819" s="0" t="s">
        <v>4325</v>
      </c>
      <c r="F1819" s="3" t="n">
        <f aca="false">D1819*_xlfn.XLOOKUP(C1819,Item_Master!A:A,Item_Master!G:G)</f>
        <v>9360</v>
      </c>
      <c r="G1819" s="0" t="str">
        <f aca="false">TEXT(B1819,"MMM YYYY")</f>
        <v>Mar 2026</v>
      </c>
    </row>
    <row r="1820" customFormat="false" ht="15" hidden="false" customHeight="false" outlineLevel="0" collapsed="false">
      <c r="A1820" s="0" t="s">
        <v>4326</v>
      </c>
      <c r="B1820" s="4" t="n">
        <v>46098</v>
      </c>
      <c r="C1820" s="0" t="s">
        <v>87</v>
      </c>
      <c r="D1820" s="0" t="n">
        <v>106</v>
      </c>
      <c r="E1820" s="0" t="s">
        <v>2203</v>
      </c>
      <c r="F1820" s="3" t="n">
        <f aca="false">D1820*_xlfn.XLOOKUP(C1820,Item_Master!A:A,Item_Master!G:G)</f>
        <v>210940</v>
      </c>
      <c r="G1820" s="0" t="str">
        <f aca="false">TEXT(B1820,"MMM YYYY")</f>
        <v>Mar 2026</v>
      </c>
    </row>
    <row r="1821" customFormat="false" ht="15" hidden="false" customHeight="false" outlineLevel="0" collapsed="false">
      <c r="A1821" s="0" t="s">
        <v>4327</v>
      </c>
      <c r="B1821" s="4" t="n">
        <v>46098</v>
      </c>
      <c r="C1821" s="0" t="s">
        <v>142</v>
      </c>
      <c r="D1821" s="0" t="n">
        <v>93</v>
      </c>
      <c r="E1821" s="0" t="s">
        <v>4328</v>
      </c>
      <c r="F1821" s="3" t="n">
        <f aca="false">D1821*_xlfn.XLOOKUP(C1821,Item_Master!A:A,Item_Master!G:G)</f>
        <v>128340</v>
      </c>
      <c r="G1821" s="0" t="str">
        <f aca="false">TEXT(B1821,"MMM YYYY")</f>
        <v>Mar 2026</v>
      </c>
    </row>
    <row r="1822" customFormat="false" ht="15" hidden="false" customHeight="false" outlineLevel="0" collapsed="false">
      <c r="A1822" s="0" t="s">
        <v>4329</v>
      </c>
      <c r="B1822" s="4" t="n">
        <v>46098</v>
      </c>
      <c r="C1822" s="0" t="s">
        <v>146</v>
      </c>
      <c r="D1822" s="0" t="n">
        <v>30</v>
      </c>
      <c r="E1822" s="0" t="s">
        <v>4330</v>
      </c>
      <c r="F1822" s="3" t="n">
        <f aca="false">D1822*_xlfn.XLOOKUP(C1822,Item_Master!A:A,Item_Master!G:G)</f>
        <v>82800</v>
      </c>
      <c r="G1822" s="0" t="str">
        <f aca="false">TEXT(B1822,"MMM YYYY")</f>
        <v>Mar 2026</v>
      </c>
    </row>
    <row r="1823" customFormat="false" ht="15" hidden="false" customHeight="false" outlineLevel="0" collapsed="false">
      <c r="A1823" s="0" t="s">
        <v>4331</v>
      </c>
      <c r="B1823" s="4" t="n">
        <v>46098</v>
      </c>
      <c r="C1823" s="0" t="s">
        <v>160</v>
      </c>
      <c r="D1823" s="0" t="n">
        <v>79</v>
      </c>
      <c r="E1823" s="0" t="s">
        <v>4332</v>
      </c>
      <c r="F1823" s="3" t="n">
        <f aca="false">D1823*_xlfn.XLOOKUP(C1823,Item_Master!A:A,Item_Master!G:G)</f>
        <v>60830</v>
      </c>
      <c r="G1823" s="0" t="str">
        <f aca="false">TEXT(B1823,"MMM YYYY")</f>
        <v>Mar 2026</v>
      </c>
    </row>
    <row r="1824" customFormat="false" ht="15" hidden="false" customHeight="false" outlineLevel="0" collapsed="false">
      <c r="A1824" s="0" t="s">
        <v>4333</v>
      </c>
      <c r="B1824" s="4" t="n">
        <v>46098</v>
      </c>
      <c r="C1824" s="0" t="s">
        <v>195</v>
      </c>
      <c r="D1824" s="0" t="n">
        <v>5</v>
      </c>
      <c r="E1824" s="0" t="s">
        <v>4334</v>
      </c>
      <c r="F1824" s="3" t="n">
        <f aca="false">D1824*_xlfn.XLOOKUP(C1824,Item_Master!A:A,Item_Master!G:G)</f>
        <v>7350</v>
      </c>
      <c r="G1824" s="0" t="str">
        <f aca="false">TEXT(B1824,"MMM YYYY")</f>
        <v>Mar 2026</v>
      </c>
    </row>
    <row r="1825" customFormat="false" ht="15" hidden="false" customHeight="false" outlineLevel="0" collapsed="false">
      <c r="A1825" s="0" t="s">
        <v>4335</v>
      </c>
      <c r="B1825" s="4" t="n">
        <v>46098</v>
      </c>
      <c r="C1825" s="0" t="s">
        <v>209</v>
      </c>
      <c r="D1825" s="0" t="n">
        <v>38</v>
      </c>
      <c r="E1825" s="0" t="s">
        <v>4336</v>
      </c>
      <c r="F1825" s="3" t="n">
        <f aca="false">D1825*_xlfn.XLOOKUP(C1825,Item_Master!A:A,Item_Master!G:G)</f>
        <v>41420</v>
      </c>
      <c r="G1825" s="0" t="str">
        <f aca="false">TEXT(B1825,"MMM YYYY")</f>
        <v>Mar 2026</v>
      </c>
    </row>
    <row r="1826" customFormat="false" ht="15" hidden="false" customHeight="false" outlineLevel="0" collapsed="false">
      <c r="A1826" s="0" t="s">
        <v>4337</v>
      </c>
      <c r="B1826" s="4" t="n">
        <v>46098</v>
      </c>
      <c r="C1826" s="0" t="s">
        <v>275</v>
      </c>
      <c r="D1826" s="0" t="n">
        <v>61</v>
      </c>
      <c r="E1826" s="0" t="s">
        <v>4338</v>
      </c>
      <c r="F1826" s="3" t="n">
        <f aca="false">D1826*_xlfn.XLOOKUP(C1826,Item_Master!A:A,Item_Master!G:G)</f>
        <v>258640</v>
      </c>
      <c r="G1826" s="0" t="str">
        <f aca="false">TEXT(B1826,"MMM YYYY")</f>
        <v>Mar 2026</v>
      </c>
    </row>
    <row r="1827" customFormat="false" ht="15" hidden="false" customHeight="false" outlineLevel="0" collapsed="false">
      <c r="A1827" s="0" t="s">
        <v>4339</v>
      </c>
      <c r="B1827" s="4" t="n">
        <v>46098</v>
      </c>
      <c r="C1827" s="0" t="s">
        <v>302</v>
      </c>
      <c r="D1827" s="0" t="n">
        <v>343</v>
      </c>
      <c r="E1827" s="0" t="s">
        <v>4340</v>
      </c>
      <c r="F1827" s="3" t="n">
        <f aca="false">D1827*_xlfn.XLOOKUP(C1827,Item_Master!A:A,Item_Master!G:G)</f>
        <v>3553480</v>
      </c>
      <c r="G1827" s="0" t="str">
        <f aca="false">TEXT(B1827,"MMM YYYY")</f>
        <v>Mar 2026</v>
      </c>
    </row>
    <row r="1828" customFormat="false" ht="15" hidden="false" customHeight="false" outlineLevel="0" collapsed="false">
      <c r="A1828" s="0" t="s">
        <v>4341</v>
      </c>
      <c r="B1828" s="4" t="n">
        <v>46098</v>
      </c>
      <c r="C1828" s="0" t="s">
        <v>363</v>
      </c>
      <c r="D1828" s="0" t="n">
        <v>123</v>
      </c>
      <c r="E1828" s="0" t="s">
        <v>4342</v>
      </c>
      <c r="F1828" s="3" t="n">
        <f aca="false">D1828*_xlfn.XLOOKUP(C1828,Item_Master!A:A,Item_Master!G:G)</f>
        <v>169740</v>
      </c>
      <c r="G1828" s="0" t="str">
        <f aca="false">TEXT(B1828,"MMM YYYY")</f>
        <v>Mar 2026</v>
      </c>
    </row>
    <row r="1829" customFormat="false" ht="15" hidden="false" customHeight="false" outlineLevel="0" collapsed="false">
      <c r="A1829" s="0" t="s">
        <v>4343</v>
      </c>
      <c r="B1829" s="4" t="n">
        <v>46098</v>
      </c>
      <c r="C1829" s="0" t="s">
        <v>378</v>
      </c>
      <c r="D1829" s="0" t="n">
        <v>317</v>
      </c>
      <c r="E1829" s="0" t="s">
        <v>4344</v>
      </c>
      <c r="F1829" s="3" t="n">
        <f aca="false">D1829*_xlfn.XLOOKUP(C1829,Item_Master!A:A,Item_Master!G:G)</f>
        <v>576940</v>
      </c>
      <c r="G1829" s="0" t="str">
        <f aca="false">TEXT(B1829,"MMM YYYY")</f>
        <v>Mar 2026</v>
      </c>
    </row>
    <row r="1830" customFormat="false" ht="15" hidden="false" customHeight="false" outlineLevel="0" collapsed="false">
      <c r="A1830" s="0" t="s">
        <v>4345</v>
      </c>
      <c r="B1830" s="4" t="n">
        <v>46098</v>
      </c>
      <c r="C1830" s="0" t="s">
        <v>473</v>
      </c>
      <c r="D1830" s="0" t="n">
        <v>10</v>
      </c>
      <c r="E1830" s="0" t="s">
        <v>4346</v>
      </c>
      <c r="F1830" s="3" t="n">
        <f aca="false">D1830*_xlfn.XLOOKUP(C1830,Item_Master!A:A,Item_Master!G:G)</f>
        <v>1900</v>
      </c>
      <c r="G1830" s="0" t="str">
        <f aca="false">TEXT(B1830,"MMM YYYY")</f>
        <v>Mar 2026</v>
      </c>
    </row>
    <row r="1831" customFormat="false" ht="15" hidden="false" customHeight="false" outlineLevel="0" collapsed="false">
      <c r="A1831" s="0" t="s">
        <v>4347</v>
      </c>
      <c r="B1831" s="4" t="n">
        <v>46098</v>
      </c>
      <c r="C1831" s="0" t="s">
        <v>498</v>
      </c>
      <c r="D1831" s="0" t="n">
        <v>54</v>
      </c>
      <c r="E1831" s="0" t="s">
        <v>4348</v>
      </c>
      <c r="F1831" s="3" t="n">
        <f aca="false">D1831*_xlfn.XLOOKUP(C1831,Item_Master!A:A,Item_Master!G:G)</f>
        <v>159300</v>
      </c>
      <c r="G1831" s="0" t="str">
        <f aca="false">TEXT(B1831,"MMM YYYY")</f>
        <v>Mar 2026</v>
      </c>
    </row>
    <row r="1832" customFormat="false" ht="15" hidden="false" customHeight="false" outlineLevel="0" collapsed="false">
      <c r="A1832" s="0" t="s">
        <v>4349</v>
      </c>
      <c r="B1832" s="4" t="n">
        <v>46098</v>
      </c>
      <c r="C1832" s="0" t="s">
        <v>518</v>
      </c>
      <c r="D1832" s="0" t="n">
        <v>13</v>
      </c>
      <c r="E1832" s="0" t="s">
        <v>4350</v>
      </c>
      <c r="F1832" s="3" t="n">
        <f aca="false">D1832*_xlfn.XLOOKUP(C1832,Item_Master!A:A,Item_Master!G:G)</f>
        <v>42770</v>
      </c>
      <c r="G1832" s="0" t="str">
        <f aca="false">TEXT(B1832,"MMM YYYY")</f>
        <v>Mar 2026</v>
      </c>
    </row>
    <row r="1833" customFormat="false" ht="15" hidden="false" customHeight="false" outlineLevel="0" collapsed="false">
      <c r="A1833" s="0" t="s">
        <v>4351</v>
      </c>
      <c r="B1833" s="4" t="n">
        <v>46098</v>
      </c>
      <c r="C1833" s="0" t="s">
        <v>586</v>
      </c>
      <c r="D1833" s="0" t="n">
        <v>2</v>
      </c>
      <c r="E1833" s="0" t="s">
        <v>4352</v>
      </c>
      <c r="F1833" s="3" t="n">
        <f aca="false">D1833*_xlfn.XLOOKUP(C1833,Item_Master!A:A,Item_Master!G:G)</f>
        <v>3400</v>
      </c>
      <c r="G1833" s="0" t="str">
        <f aca="false">TEXT(B1833,"MMM YYYY")</f>
        <v>Mar 2026</v>
      </c>
    </row>
    <row r="1834" customFormat="false" ht="15" hidden="false" customHeight="false" outlineLevel="0" collapsed="false">
      <c r="A1834" s="0" t="s">
        <v>4353</v>
      </c>
      <c r="B1834" s="4" t="n">
        <v>46099</v>
      </c>
      <c r="C1834" s="0" t="s">
        <v>428</v>
      </c>
      <c r="D1834" s="0" t="n">
        <v>251</v>
      </c>
      <c r="E1834" s="0" t="s">
        <v>4354</v>
      </c>
      <c r="F1834" s="3" t="n">
        <f aca="false">D1834*_xlfn.XLOOKUP(C1834,Item_Master!A:A,Item_Master!G:G)</f>
        <v>281120</v>
      </c>
      <c r="G1834" s="0" t="str">
        <f aca="false">TEXT(B1834,"MMM YYYY")</f>
        <v>Mar 2026</v>
      </c>
    </row>
    <row r="1835" customFormat="false" ht="15" hidden="false" customHeight="false" outlineLevel="0" collapsed="false">
      <c r="A1835" s="0" t="s">
        <v>4355</v>
      </c>
      <c r="B1835" s="4" t="n">
        <v>46099</v>
      </c>
      <c r="C1835" s="0" t="s">
        <v>533</v>
      </c>
      <c r="D1835" s="0" t="n">
        <v>30</v>
      </c>
      <c r="E1835" s="0" t="s">
        <v>4356</v>
      </c>
      <c r="F1835" s="3" t="n">
        <f aca="false">D1835*_xlfn.XLOOKUP(C1835,Item_Master!A:A,Item_Master!G:G)</f>
        <v>51600</v>
      </c>
      <c r="G1835" s="0" t="str">
        <f aca="false">TEXT(B1835,"MMM YYYY")</f>
        <v>Mar 2026</v>
      </c>
    </row>
    <row r="1836" customFormat="false" ht="15" hidden="false" customHeight="false" outlineLevel="0" collapsed="false">
      <c r="A1836" s="0" t="s">
        <v>4357</v>
      </c>
      <c r="B1836" s="4" t="n">
        <v>46099</v>
      </c>
      <c r="C1836" s="0" t="s">
        <v>616</v>
      </c>
      <c r="D1836" s="0" t="n">
        <v>43</v>
      </c>
      <c r="E1836" s="0" t="s">
        <v>4358</v>
      </c>
      <c r="F1836" s="3" t="n">
        <f aca="false">D1836*_xlfn.XLOOKUP(C1836,Item_Master!A:A,Item_Master!G:G)</f>
        <v>161680</v>
      </c>
      <c r="G1836" s="0" t="str">
        <f aca="false">TEXT(B1836,"MMM YYYY")</f>
        <v>Mar 2026</v>
      </c>
    </row>
    <row r="1837" customFormat="false" ht="15" hidden="false" customHeight="false" outlineLevel="0" collapsed="false">
      <c r="A1837" s="0" t="s">
        <v>4359</v>
      </c>
      <c r="B1837" s="4" t="n">
        <v>46099</v>
      </c>
      <c r="C1837" s="0" t="s">
        <v>634</v>
      </c>
      <c r="D1837" s="0" t="n">
        <v>93</v>
      </c>
      <c r="E1837" s="0" t="s">
        <v>4360</v>
      </c>
      <c r="F1837" s="3" t="n">
        <f aca="false">D1837*_xlfn.XLOOKUP(C1837,Item_Master!A:A,Item_Master!G:G)</f>
        <v>1479630</v>
      </c>
      <c r="G1837" s="0" t="str">
        <f aca="false">TEXT(B1837,"MMM YYYY")</f>
        <v>Mar 2026</v>
      </c>
    </row>
    <row r="1838" customFormat="false" ht="15" hidden="false" customHeight="false" outlineLevel="0" collapsed="false">
      <c r="A1838" s="0" t="s">
        <v>4361</v>
      </c>
      <c r="B1838" s="4" t="n">
        <v>46100</v>
      </c>
      <c r="C1838" s="0" t="s">
        <v>13</v>
      </c>
      <c r="D1838" s="0" t="n">
        <v>44</v>
      </c>
      <c r="E1838" s="0" t="s">
        <v>4362</v>
      </c>
      <c r="F1838" s="3" t="n">
        <f aca="false">D1838*_xlfn.XLOOKUP(C1838,Item_Master!A:A,Item_Master!G:G)</f>
        <v>93280</v>
      </c>
      <c r="G1838" s="0" t="str">
        <f aca="false">TEXT(B1838,"MMM YYYY")</f>
        <v>Mar 2026</v>
      </c>
    </row>
    <row r="1839" customFormat="false" ht="15" hidden="false" customHeight="false" outlineLevel="0" collapsed="false">
      <c r="A1839" s="0" t="s">
        <v>4363</v>
      </c>
      <c r="B1839" s="4" t="n">
        <v>46100</v>
      </c>
      <c r="C1839" s="0" t="s">
        <v>156</v>
      </c>
      <c r="D1839" s="0" t="n">
        <v>188</v>
      </c>
      <c r="E1839" s="0" t="s">
        <v>4364</v>
      </c>
      <c r="F1839" s="3" t="n">
        <f aca="false">D1839*_xlfn.XLOOKUP(C1839,Item_Master!A:A,Item_Master!G:G)</f>
        <v>564000</v>
      </c>
      <c r="G1839" s="0" t="str">
        <f aca="false">TEXT(B1839,"MMM YYYY")</f>
        <v>Mar 2026</v>
      </c>
    </row>
    <row r="1840" customFormat="false" ht="15" hidden="false" customHeight="false" outlineLevel="0" collapsed="false">
      <c r="A1840" s="0" t="s">
        <v>4365</v>
      </c>
      <c r="B1840" s="4" t="n">
        <v>46100</v>
      </c>
      <c r="C1840" s="0" t="s">
        <v>401</v>
      </c>
      <c r="D1840" s="0" t="n">
        <v>13</v>
      </c>
      <c r="E1840" s="0" t="s">
        <v>4366</v>
      </c>
      <c r="F1840" s="3" t="n">
        <f aca="false">D1840*_xlfn.XLOOKUP(C1840,Item_Master!A:A,Item_Master!G:G)</f>
        <v>261430</v>
      </c>
      <c r="G1840" s="0" t="str">
        <f aca="false">TEXT(B1840,"MMM YYYY")</f>
        <v>Mar 2026</v>
      </c>
    </row>
    <row r="1841" customFormat="false" ht="15" hidden="false" customHeight="false" outlineLevel="0" collapsed="false">
      <c r="A1841" s="0" t="s">
        <v>4367</v>
      </c>
      <c r="B1841" s="4" t="n">
        <v>46101</v>
      </c>
      <c r="C1841" s="0" t="s">
        <v>110</v>
      </c>
      <c r="D1841" s="0" t="n">
        <v>229</v>
      </c>
      <c r="E1841" s="0" t="s">
        <v>4368</v>
      </c>
      <c r="F1841" s="3" t="n">
        <f aca="false">D1841*_xlfn.XLOOKUP(C1841,Item_Master!A:A,Item_Master!G:G)</f>
        <v>219840</v>
      </c>
      <c r="G1841" s="0" t="str">
        <f aca="false">TEXT(B1841,"MMM YYYY")</f>
        <v>Mar 2026</v>
      </c>
    </row>
    <row r="1842" customFormat="false" ht="15" hidden="false" customHeight="false" outlineLevel="0" collapsed="false">
      <c r="A1842" s="0" t="s">
        <v>4369</v>
      </c>
      <c r="B1842" s="4" t="n">
        <v>46101</v>
      </c>
      <c r="C1842" s="0" t="s">
        <v>444</v>
      </c>
      <c r="D1842" s="0" t="n">
        <v>155</v>
      </c>
      <c r="E1842" s="0" t="s">
        <v>4370</v>
      </c>
      <c r="F1842" s="3" t="n">
        <f aca="false">D1842*_xlfn.XLOOKUP(C1842,Item_Master!A:A,Item_Master!G:G)</f>
        <v>145700</v>
      </c>
      <c r="G1842" s="0" t="str">
        <f aca="false">TEXT(B1842,"MMM YYYY")</f>
        <v>Mar 2026</v>
      </c>
    </row>
    <row r="1843" customFormat="false" ht="15" hidden="false" customHeight="false" outlineLevel="0" collapsed="false">
      <c r="A1843" s="0" t="s">
        <v>4371</v>
      </c>
      <c r="B1843" s="4" t="n">
        <v>46101</v>
      </c>
      <c r="C1843" s="0" t="s">
        <v>490</v>
      </c>
      <c r="D1843" s="0" t="n">
        <v>136</v>
      </c>
      <c r="E1843" s="0" t="s">
        <v>4372</v>
      </c>
      <c r="F1843" s="3" t="n">
        <f aca="false">D1843*_xlfn.XLOOKUP(C1843,Item_Master!A:A,Item_Master!G:G)</f>
        <v>601120</v>
      </c>
      <c r="G1843" s="0" t="str">
        <f aca="false">TEXT(B1843,"MMM YYYY")</f>
        <v>Mar 2026</v>
      </c>
    </row>
    <row r="1844" customFormat="false" ht="15" hidden="false" customHeight="false" outlineLevel="0" collapsed="false">
      <c r="A1844" s="0" t="s">
        <v>4373</v>
      </c>
      <c r="B1844" s="4" t="n">
        <v>46102</v>
      </c>
      <c r="C1844" s="0" t="s">
        <v>641</v>
      </c>
      <c r="D1844" s="0" t="n">
        <v>112</v>
      </c>
      <c r="E1844" s="0" t="s">
        <v>4374</v>
      </c>
      <c r="F1844" s="3" t="n">
        <f aca="false">D1844*_xlfn.XLOOKUP(C1844,Item_Master!A:A,Item_Master!G:G)</f>
        <v>237440</v>
      </c>
      <c r="G1844" s="0" t="str">
        <f aca="false">TEXT(B1844,"MMM YYYY")</f>
        <v>Mar 2026</v>
      </c>
    </row>
    <row r="1845" customFormat="false" ht="15" hidden="false" customHeight="false" outlineLevel="0" collapsed="false">
      <c r="A1845" s="0" t="s">
        <v>4375</v>
      </c>
      <c r="B1845" s="4" t="n">
        <v>46102</v>
      </c>
      <c r="C1845" s="0" t="s">
        <v>688</v>
      </c>
      <c r="D1845" s="0" t="n">
        <v>53</v>
      </c>
      <c r="E1845" s="0" t="s">
        <v>4376</v>
      </c>
      <c r="F1845" s="3" t="n">
        <f aca="false">D1845*_xlfn.XLOOKUP(C1845,Item_Master!A:A,Item_Master!G:G)</f>
        <v>516220</v>
      </c>
      <c r="G1845" s="0" t="str">
        <f aca="false">TEXT(B1845,"MMM YYYY")</f>
        <v>Mar 2026</v>
      </c>
    </row>
    <row r="1846" customFormat="false" ht="15" hidden="false" customHeight="false" outlineLevel="0" collapsed="false">
      <c r="A1846" s="0" t="s">
        <v>4377</v>
      </c>
      <c r="B1846" s="4" t="n">
        <v>46102</v>
      </c>
      <c r="C1846" s="0" t="s">
        <v>698</v>
      </c>
      <c r="D1846" s="0" t="n">
        <v>78</v>
      </c>
      <c r="E1846" s="0" t="s">
        <v>4378</v>
      </c>
      <c r="F1846" s="3" t="n">
        <f aca="false">D1846*_xlfn.XLOOKUP(C1846,Item_Master!A:A,Item_Master!G:G)</f>
        <v>71760</v>
      </c>
      <c r="G1846" s="0" t="str">
        <f aca="false">TEXT(B1846,"MMM YYYY")</f>
        <v>Mar 2026</v>
      </c>
    </row>
    <row r="1847" customFormat="false" ht="15" hidden="false" customHeight="false" outlineLevel="0" collapsed="false">
      <c r="A1847" s="0" t="s">
        <v>4379</v>
      </c>
      <c r="B1847" s="4" t="n">
        <v>46103</v>
      </c>
      <c r="C1847" s="0" t="s">
        <v>100</v>
      </c>
      <c r="D1847" s="0" t="n">
        <v>64</v>
      </c>
      <c r="E1847" s="0" t="s">
        <v>4380</v>
      </c>
      <c r="F1847" s="3" t="n">
        <f aca="false">D1847*_xlfn.XLOOKUP(C1847,Item_Master!A:A,Item_Master!G:G)</f>
        <v>647040</v>
      </c>
      <c r="G1847" s="0" t="str">
        <f aca="false">TEXT(B1847,"MMM YYYY")</f>
        <v>Mar 2026</v>
      </c>
    </row>
    <row r="1848" customFormat="false" ht="15" hidden="false" customHeight="false" outlineLevel="0" collapsed="false">
      <c r="A1848" s="0" t="s">
        <v>4381</v>
      </c>
      <c r="B1848" s="4" t="n">
        <v>46103</v>
      </c>
      <c r="C1848" s="0" t="s">
        <v>676</v>
      </c>
      <c r="D1848" s="0" t="n">
        <v>41</v>
      </c>
      <c r="E1848" s="0" t="s">
        <v>4382</v>
      </c>
      <c r="F1848" s="3" t="n">
        <f aca="false">D1848*_xlfn.XLOOKUP(C1848,Item_Master!A:A,Item_Master!G:G)</f>
        <v>90200</v>
      </c>
      <c r="G1848" s="0" t="str">
        <f aca="false">TEXT(B1848,"MMM YYYY")</f>
        <v>Mar 2026</v>
      </c>
    </row>
    <row r="1849" customFormat="false" ht="15" hidden="false" customHeight="false" outlineLevel="0" collapsed="false">
      <c r="A1849" s="0" t="s">
        <v>4383</v>
      </c>
      <c r="B1849" s="4" t="n">
        <v>46104</v>
      </c>
      <c r="C1849" s="0" t="s">
        <v>51</v>
      </c>
      <c r="D1849" s="0" t="n">
        <v>129</v>
      </c>
      <c r="E1849" s="0" t="s">
        <v>4384</v>
      </c>
      <c r="F1849" s="3" t="n">
        <f aca="false">D1849*_xlfn.XLOOKUP(C1849,Item_Master!A:A,Item_Master!G:G)</f>
        <v>1620240</v>
      </c>
      <c r="G1849" s="0" t="str">
        <f aca="false">TEXT(B1849,"MMM YYYY")</f>
        <v>Mar 2026</v>
      </c>
    </row>
    <row r="1850" customFormat="false" ht="15" hidden="false" customHeight="false" outlineLevel="0" collapsed="false">
      <c r="A1850" s="0" t="s">
        <v>4385</v>
      </c>
      <c r="B1850" s="4" t="n">
        <v>46104</v>
      </c>
      <c r="C1850" s="0" t="s">
        <v>133</v>
      </c>
      <c r="D1850" s="0" t="n">
        <v>35</v>
      </c>
      <c r="E1850" s="0" t="s">
        <v>4386</v>
      </c>
      <c r="F1850" s="3" t="n">
        <f aca="false">D1850*_xlfn.XLOOKUP(C1850,Item_Master!A:A,Item_Master!G:G)</f>
        <v>43400</v>
      </c>
      <c r="G1850" s="0" t="str">
        <f aca="false">TEXT(B1850,"MMM YYYY")</f>
        <v>Mar 2026</v>
      </c>
    </row>
    <row r="1851" customFormat="false" ht="15" hidden="false" customHeight="false" outlineLevel="0" collapsed="false">
      <c r="A1851" s="0" t="s">
        <v>4387</v>
      </c>
      <c r="B1851" s="4" t="n">
        <v>46104</v>
      </c>
      <c r="C1851" s="0" t="s">
        <v>146</v>
      </c>
      <c r="D1851" s="0" t="n">
        <v>40</v>
      </c>
      <c r="E1851" s="0" t="s">
        <v>4388</v>
      </c>
      <c r="F1851" s="3" t="n">
        <f aca="false">D1851*_xlfn.XLOOKUP(C1851,Item_Master!A:A,Item_Master!G:G)</f>
        <v>110400</v>
      </c>
      <c r="G1851" s="0" t="str">
        <f aca="false">TEXT(B1851,"MMM YYYY")</f>
        <v>Mar 2026</v>
      </c>
    </row>
    <row r="1852" customFormat="false" ht="15" hidden="false" customHeight="false" outlineLevel="0" collapsed="false">
      <c r="A1852" s="0" t="s">
        <v>4389</v>
      </c>
      <c r="B1852" s="4" t="n">
        <v>46104</v>
      </c>
      <c r="C1852" s="0" t="s">
        <v>207</v>
      </c>
      <c r="D1852" s="0" t="n">
        <v>11</v>
      </c>
      <c r="E1852" s="0" t="s">
        <v>4390</v>
      </c>
      <c r="F1852" s="3" t="n">
        <f aca="false">D1852*_xlfn.XLOOKUP(C1852,Item_Master!A:A,Item_Master!G:G)</f>
        <v>28490</v>
      </c>
      <c r="G1852" s="0" t="str">
        <f aca="false">TEXT(B1852,"MMM YYYY")</f>
        <v>Mar 2026</v>
      </c>
    </row>
    <row r="1853" customFormat="false" ht="15" hidden="false" customHeight="false" outlineLevel="0" collapsed="false">
      <c r="A1853" s="0" t="s">
        <v>4391</v>
      </c>
      <c r="B1853" s="4" t="n">
        <v>46104</v>
      </c>
      <c r="C1853" s="0" t="s">
        <v>424</v>
      </c>
      <c r="D1853" s="0" t="n">
        <v>287</v>
      </c>
      <c r="E1853" s="0" t="s">
        <v>4392</v>
      </c>
      <c r="F1853" s="3" t="n">
        <f aca="false">D1853*_xlfn.XLOOKUP(C1853,Item_Master!A:A,Item_Master!G:G)</f>
        <v>706020</v>
      </c>
      <c r="G1853" s="0" t="str">
        <f aca="false">TEXT(B1853,"MMM YYYY")</f>
        <v>Mar 2026</v>
      </c>
    </row>
    <row r="1854" customFormat="false" ht="15" hidden="false" customHeight="false" outlineLevel="0" collapsed="false">
      <c r="A1854" s="0" t="s">
        <v>4393</v>
      </c>
      <c r="B1854" s="4" t="n">
        <v>46104</v>
      </c>
      <c r="C1854" s="0" t="s">
        <v>436</v>
      </c>
      <c r="D1854" s="0" t="n">
        <v>320</v>
      </c>
      <c r="E1854" s="0" t="s">
        <v>4394</v>
      </c>
      <c r="F1854" s="3" t="n">
        <f aca="false">D1854*_xlfn.XLOOKUP(C1854,Item_Master!A:A,Item_Master!G:G)</f>
        <v>873600</v>
      </c>
      <c r="G1854" s="0" t="str">
        <f aca="false">TEXT(B1854,"MMM YYYY")</f>
        <v>Mar 2026</v>
      </c>
    </row>
    <row r="1855" customFormat="false" ht="15" hidden="false" customHeight="false" outlineLevel="0" collapsed="false">
      <c r="A1855" s="0" t="s">
        <v>4395</v>
      </c>
      <c r="B1855" s="4" t="n">
        <v>46104</v>
      </c>
      <c r="C1855" s="0" t="s">
        <v>450</v>
      </c>
      <c r="D1855" s="0" t="n">
        <v>67</v>
      </c>
      <c r="E1855" s="0" t="s">
        <v>4396</v>
      </c>
      <c r="F1855" s="3" t="n">
        <f aca="false">D1855*_xlfn.XLOOKUP(C1855,Item_Master!A:A,Item_Master!G:G)</f>
        <v>56950</v>
      </c>
      <c r="G1855" s="0" t="str">
        <f aca="false">TEXT(B1855,"MMM YYYY")</f>
        <v>Mar 2026</v>
      </c>
    </row>
    <row r="1856" customFormat="false" ht="15" hidden="false" customHeight="false" outlineLevel="0" collapsed="false">
      <c r="A1856" s="0" t="s">
        <v>4397</v>
      </c>
      <c r="B1856" s="4" t="n">
        <v>46104</v>
      </c>
      <c r="C1856" s="0" t="s">
        <v>673</v>
      </c>
      <c r="D1856" s="0" t="n">
        <v>181</v>
      </c>
      <c r="E1856" s="0" t="s">
        <v>4398</v>
      </c>
      <c r="F1856" s="3" t="n">
        <f aca="false">D1856*_xlfn.XLOOKUP(C1856,Item_Master!A:A,Item_Master!G:G)</f>
        <v>152040</v>
      </c>
      <c r="G1856" s="0" t="str">
        <f aca="false">TEXT(B1856,"MMM YYYY")</f>
        <v>Mar 2026</v>
      </c>
    </row>
    <row r="1857" customFormat="false" ht="15" hidden="false" customHeight="false" outlineLevel="0" collapsed="false">
      <c r="A1857" s="0" t="s">
        <v>4399</v>
      </c>
      <c r="B1857" s="4" t="n">
        <v>46106</v>
      </c>
      <c r="C1857" s="0" t="s">
        <v>300</v>
      </c>
      <c r="D1857" s="0" t="n">
        <v>27</v>
      </c>
      <c r="E1857" s="0" t="s">
        <v>4400</v>
      </c>
      <c r="F1857" s="3" t="n">
        <f aca="false">D1857*_xlfn.XLOOKUP(C1857,Item_Master!A:A,Item_Master!G:G)</f>
        <v>68850</v>
      </c>
      <c r="G1857" s="0" t="str">
        <f aca="false">TEXT(B1857,"MMM YYYY")</f>
        <v>Mar 2026</v>
      </c>
    </row>
    <row r="1858" customFormat="false" ht="15" hidden="false" customHeight="false" outlineLevel="0" collapsed="false">
      <c r="A1858" s="0" t="s">
        <v>4401</v>
      </c>
      <c r="B1858" s="4" t="n">
        <v>46106</v>
      </c>
      <c r="C1858" s="0" t="s">
        <v>372</v>
      </c>
      <c r="D1858" s="0" t="n">
        <v>64</v>
      </c>
      <c r="E1858" s="0" t="s">
        <v>4402</v>
      </c>
      <c r="F1858" s="3" t="n">
        <f aca="false">D1858*_xlfn.XLOOKUP(C1858,Item_Master!A:A,Item_Master!G:G)</f>
        <v>284800</v>
      </c>
      <c r="G1858" s="0" t="str">
        <f aca="false">TEXT(B1858,"MMM YYYY")</f>
        <v>Mar 2026</v>
      </c>
    </row>
    <row r="1859" customFormat="false" ht="15" hidden="false" customHeight="false" outlineLevel="0" collapsed="false">
      <c r="A1859" s="0" t="s">
        <v>4403</v>
      </c>
      <c r="B1859" s="4" t="n">
        <v>46106</v>
      </c>
      <c r="C1859" s="0" t="s">
        <v>683</v>
      </c>
      <c r="D1859" s="0" t="n">
        <v>46</v>
      </c>
      <c r="E1859" s="0" t="s">
        <v>4404</v>
      </c>
      <c r="F1859" s="3" t="n">
        <f aca="false">D1859*_xlfn.XLOOKUP(C1859,Item_Master!A:A,Item_Master!G:G)</f>
        <v>36800</v>
      </c>
      <c r="G1859" s="0" t="str">
        <f aca="false">TEXT(B1859,"MMM YYYY")</f>
        <v>Mar 2026</v>
      </c>
    </row>
    <row r="1860" customFormat="false" ht="15" hidden="false" customHeight="false" outlineLevel="0" collapsed="false">
      <c r="A1860" s="0" t="s">
        <v>4405</v>
      </c>
      <c r="B1860" s="4" t="n">
        <v>46106</v>
      </c>
      <c r="C1860" s="0" t="s">
        <v>694</v>
      </c>
      <c r="D1860" s="0" t="n">
        <v>157</v>
      </c>
      <c r="E1860" s="0" t="s">
        <v>4406</v>
      </c>
      <c r="F1860" s="3" t="n">
        <f aca="false">D1860*_xlfn.XLOOKUP(C1860,Item_Master!A:A,Item_Master!G:G)</f>
        <v>3910870</v>
      </c>
      <c r="G1860" s="0" t="str">
        <f aca="false">TEXT(B1860,"MMM YYYY")</f>
        <v>Mar 2026</v>
      </c>
    </row>
    <row r="1861" customFormat="false" ht="15" hidden="false" customHeight="false" outlineLevel="0" collapsed="false">
      <c r="A1861" s="0" t="s">
        <v>4407</v>
      </c>
      <c r="B1861" s="4" t="n">
        <v>46107</v>
      </c>
      <c r="C1861" s="0" t="s">
        <v>148</v>
      </c>
      <c r="D1861" s="0" t="n">
        <v>123</v>
      </c>
      <c r="E1861" s="0" t="s">
        <v>4408</v>
      </c>
      <c r="F1861" s="3" t="n">
        <f aca="false">D1861*_xlfn.XLOOKUP(C1861,Item_Master!A:A,Item_Master!G:G)</f>
        <v>52890</v>
      </c>
      <c r="G1861" s="0" t="str">
        <f aca="false">TEXT(B1861,"MMM YYYY")</f>
        <v>Mar 2026</v>
      </c>
    </row>
    <row r="1862" customFormat="false" ht="15" hidden="false" customHeight="false" outlineLevel="0" collapsed="false">
      <c r="A1862" s="0" t="s">
        <v>4409</v>
      </c>
      <c r="B1862" s="4" t="n">
        <v>46107</v>
      </c>
      <c r="C1862" s="0" t="s">
        <v>319</v>
      </c>
      <c r="D1862" s="0" t="n">
        <v>195</v>
      </c>
      <c r="E1862" s="0" t="s">
        <v>4410</v>
      </c>
      <c r="F1862" s="3" t="n">
        <f aca="false">D1862*_xlfn.XLOOKUP(C1862,Item_Master!A:A,Item_Master!G:G)</f>
        <v>4428450</v>
      </c>
      <c r="G1862" s="0" t="str">
        <f aca="false">TEXT(B1862,"MMM YYYY")</f>
        <v>Mar 2026</v>
      </c>
    </row>
    <row r="1863" customFormat="false" ht="15" hidden="false" customHeight="false" outlineLevel="0" collapsed="false">
      <c r="A1863" s="0" t="s">
        <v>4411</v>
      </c>
      <c r="B1863" s="4" t="n">
        <v>46107</v>
      </c>
      <c r="C1863" s="0" t="s">
        <v>349</v>
      </c>
      <c r="D1863" s="0" t="n">
        <v>430</v>
      </c>
      <c r="E1863" s="0" t="s">
        <v>4412</v>
      </c>
      <c r="F1863" s="3" t="n">
        <f aca="false">D1863*_xlfn.XLOOKUP(C1863,Item_Master!A:A,Item_Master!G:G)</f>
        <v>1216900</v>
      </c>
      <c r="G1863" s="0" t="str">
        <f aca="false">TEXT(B1863,"MMM YYYY")</f>
        <v>Mar 2026</v>
      </c>
    </row>
    <row r="1864" customFormat="false" ht="15" hidden="false" customHeight="false" outlineLevel="0" collapsed="false">
      <c r="A1864" s="0" t="s">
        <v>4413</v>
      </c>
      <c r="B1864" s="4" t="n">
        <v>46107</v>
      </c>
      <c r="C1864" s="0" t="s">
        <v>505</v>
      </c>
      <c r="D1864" s="0" t="n">
        <v>369</v>
      </c>
      <c r="E1864" s="0" t="s">
        <v>4414</v>
      </c>
      <c r="F1864" s="3" t="n">
        <f aca="false">D1864*_xlfn.XLOOKUP(C1864,Item_Master!A:A,Item_Master!G:G)</f>
        <v>339480</v>
      </c>
      <c r="G1864" s="0" t="str">
        <f aca="false">TEXT(B1864,"MMM YYYY")</f>
        <v>Mar 2026</v>
      </c>
    </row>
    <row r="1865" customFormat="false" ht="15" hidden="false" customHeight="false" outlineLevel="0" collapsed="false">
      <c r="A1865" s="0" t="s">
        <v>4415</v>
      </c>
      <c r="B1865" s="4" t="n">
        <v>46107</v>
      </c>
      <c r="C1865" s="0" t="s">
        <v>543</v>
      </c>
      <c r="D1865" s="0" t="n">
        <v>117</v>
      </c>
      <c r="E1865" s="0" t="s">
        <v>4416</v>
      </c>
      <c r="F1865" s="3" t="n">
        <f aca="false">D1865*_xlfn.XLOOKUP(C1865,Item_Master!A:A,Item_Master!G:G)</f>
        <v>298350</v>
      </c>
      <c r="G1865" s="0" t="str">
        <f aca="false">TEXT(B1865,"MMM YYYY")</f>
        <v>Mar 2026</v>
      </c>
    </row>
    <row r="1866" customFormat="false" ht="15" hidden="false" customHeight="false" outlineLevel="0" collapsed="false">
      <c r="A1866" s="0" t="s">
        <v>4417</v>
      </c>
      <c r="B1866" s="4" t="n">
        <v>46107</v>
      </c>
      <c r="C1866" s="0" t="s">
        <v>559</v>
      </c>
      <c r="D1866" s="0" t="n">
        <v>7</v>
      </c>
      <c r="E1866" s="0" t="s">
        <v>4418</v>
      </c>
      <c r="F1866" s="3" t="n">
        <f aca="false">D1866*_xlfn.XLOOKUP(C1866,Item_Master!A:A,Item_Master!G:G)</f>
        <v>62090</v>
      </c>
      <c r="G1866" s="0" t="str">
        <f aca="false">TEXT(B1866,"MMM YYYY")</f>
        <v>Mar 2026</v>
      </c>
    </row>
    <row r="1867" customFormat="false" ht="15" hidden="false" customHeight="false" outlineLevel="0" collapsed="false">
      <c r="A1867" s="0" t="s">
        <v>4419</v>
      </c>
      <c r="B1867" s="4" t="n">
        <v>46108</v>
      </c>
      <c r="C1867" s="0" t="s">
        <v>391</v>
      </c>
      <c r="D1867" s="0" t="n">
        <v>113</v>
      </c>
      <c r="E1867" s="0" t="s">
        <v>4420</v>
      </c>
      <c r="F1867" s="3" t="n">
        <f aca="false">D1867*_xlfn.XLOOKUP(C1867,Item_Master!A:A,Item_Master!G:G)</f>
        <v>157070</v>
      </c>
      <c r="G1867" s="0" t="str">
        <f aca="false">TEXT(B1867,"MMM YYYY")</f>
        <v>Mar 2026</v>
      </c>
    </row>
    <row r="1868" customFormat="false" ht="15" hidden="false" customHeight="false" outlineLevel="0" collapsed="false">
      <c r="A1868" s="0" t="s">
        <v>4421</v>
      </c>
      <c r="B1868" s="4" t="n">
        <v>46108</v>
      </c>
      <c r="C1868" s="0" t="s">
        <v>486</v>
      </c>
      <c r="D1868" s="0" t="n">
        <v>54</v>
      </c>
      <c r="E1868" s="0" t="s">
        <v>4422</v>
      </c>
      <c r="F1868" s="3" t="n">
        <f aca="false">D1868*_xlfn.XLOOKUP(C1868,Item_Master!A:A,Item_Master!G:G)</f>
        <v>91800</v>
      </c>
      <c r="G1868" s="0" t="str">
        <f aca="false">TEXT(B1868,"MMM YYYY")</f>
        <v>Mar 2026</v>
      </c>
    </row>
    <row r="1869" customFormat="false" ht="15" hidden="false" customHeight="false" outlineLevel="0" collapsed="false">
      <c r="A1869" s="0" t="s">
        <v>4423</v>
      </c>
      <c r="B1869" s="4" t="n">
        <v>46108</v>
      </c>
      <c r="C1869" s="0" t="s">
        <v>557</v>
      </c>
      <c r="D1869" s="0" t="n">
        <v>199</v>
      </c>
      <c r="E1869" s="0" t="s">
        <v>4424</v>
      </c>
      <c r="F1869" s="3" t="n">
        <f aca="false">D1869*_xlfn.XLOOKUP(C1869,Item_Master!A:A,Item_Master!G:G)</f>
        <v>214920</v>
      </c>
      <c r="G1869" s="0" t="str">
        <f aca="false">TEXT(B1869,"MMM YYYY")</f>
        <v>Mar 2026</v>
      </c>
    </row>
    <row r="1870" customFormat="false" ht="15" hidden="false" customHeight="false" outlineLevel="0" collapsed="false">
      <c r="A1870" s="0" t="s">
        <v>4425</v>
      </c>
      <c r="B1870" s="4" t="n">
        <v>46108</v>
      </c>
      <c r="C1870" s="0" t="s">
        <v>612</v>
      </c>
      <c r="D1870" s="0" t="n">
        <v>32</v>
      </c>
      <c r="E1870" s="0" t="s">
        <v>4426</v>
      </c>
      <c r="F1870" s="3" t="n">
        <f aca="false">D1870*_xlfn.XLOOKUP(C1870,Item_Master!A:A,Item_Master!G:G)</f>
        <v>82880</v>
      </c>
      <c r="G1870" s="0" t="str">
        <f aca="false">TEXT(B1870,"MMM YYYY")</f>
        <v>Mar 2026</v>
      </c>
    </row>
    <row r="1871" customFormat="false" ht="15" hidden="false" customHeight="false" outlineLevel="0" collapsed="false">
      <c r="A1871" s="0" t="s">
        <v>4427</v>
      </c>
      <c r="B1871" s="4" t="n">
        <v>46109</v>
      </c>
      <c r="C1871" s="0" t="s">
        <v>380</v>
      </c>
      <c r="D1871" s="0" t="n">
        <v>3</v>
      </c>
      <c r="E1871" s="0" t="s">
        <v>4428</v>
      </c>
      <c r="F1871" s="3" t="n">
        <f aca="false">D1871*_xlfn.XLOOKUP(C1871,Item_Master!A:A,Item_Master!G:G)</f>
        <v>9510</v>
      </c>
      <c r="G1871" s="0" t="str">
        <f aca="false">TEXT(B1871,"MMM YYYY")</f>
        <v>Mar 2026</v>
      </c>
    </row>
    <row r="1872" customFormat="false" ht="15" hidden="false" customHeight="false" outlineLevel="0" collapsed="false">
      <c r="A1872" s="0" t="s">
        <v>4429</v>
      </c>
      <c r="B1872" s="4" t="n">
        <v>46109</v>
      </c>
      <c r="C1872" s="0" t="s">
        <v>446</v>
      </c>
      <c r="D1872" s="0" t="n">
        <v>38</v>
      </c>
      <c r="E1872" s="0" t="s">
        <v>4430</v>
      </c>
      <c r="F1872" s="3" t="n">
        <f aca="false">D1872*_xlfn.XLOOKUP(C1872,Item_Master!A:A,Item_Master!G:G)</f>
        <v>66500</v>
      </c>
      <c r="G1872" s="0" t="str">
        <f aca="false">TEXT(B1872,"MMM YYYY")</f>
        <v>Mar 2026</v>
      </c>
    </row>
    <row r="1873" customFormat="false" ht="15" hidden="false" customHeight="false" outlineLevel="0" collapsed="false">
      <c r="A1873" s="0" t="s">
        <v>4431</v>
      </c>
      <c r="B1873" s="4" t="n">
        <v>46109</v>
      </c>
      <c r="C1873" s="0" t="s">
        <v>531</v>
      </c>
      <c r="D1873" s="0" t="n">
        <v>240</v>
      </c>
      <c r="E1873" s="0" t="s">
        <v>4432</v>
      </c>
      <c r="F1873" s="3" t="n">
        <f aca="false">D1873*_xlfn.XLOOKUP(C1873,Item_Master!A:A,Item_Master!G:G)</f>
        <v>388800</v>
      </c>
      <c r="G1873" s="0" t="str">
        <f aca="false">TEXT(B1873,"MMM YYYY")</f>
        <v>Mar 2026</v>
      </c>
    </row>
    <row r="1874" customFormat="false" ht="15" hidden="false" customHeight="false" outlineLevel="0" collapsed="false">
      <c r="A1874" s="0" t="s">
        <v>4433</v>
      </c>
      <c r="B1874" s="4" t="n">
        <v>46109</v>
      </c>
      <c r="C1874" s="0" t="s">
        <v>654</v>
      </c>
      <c r="D1874" s="0" t="n">
        <v>13</v>
      </c>
      <c r="E1874" s="0" t="s">
        <v>4434</v>
      </c>
      <c r="F1874" s="3" t="n">
        <f aca="false">D1874*_xlfn.XLOOKUP(C1874,Item_Master!A:A,Item_Master!G:G)</f>
        <v>23400</v>
      </c>
      <c r="G1874" s="0" t="str">
        <f aca="false">TEXT(B1874,"MMM YYYY")</f>
        <v>Mar 2026</v>
      </c>
    </row>
    <row r="1875" customFormat="false" ht="15" hidden="false" customHeight="false" outlineLevel="0" collapsed="false">
      <c r="A1875" s="0" t="s">
        <v>4435</v>
      </c>
      <c r="B1875" s="4" t="n">
        <v>46109</v>
      </c>
      <c r="C1875" s="0" t="s">
        <v>667</v>
      </c>
      <c r="D1875" s="0" t="n">
        <v>217</v>
      </c>
      <c r="E1875" s="0" t="s">
        <v>4436</v>
      </c>
      <c r="F1875" s="3" t="n">
        <f aca="false">D1875*_xlfn.XLOOKUP(C1875,Item_Master!A:A,Item_Master!G:G)</f>
        <v>444850</v>
      </c>
      <c r="G1875" s="0" t="str">
        <f aca="false">TEXT(B1875,"MMM YYYY")</f>
        <v>Mar 2026</v>
      </c>
    </row>
    <row r="1876" customFormat="false" ht="15" hidden="false" customHeight="false" outlineLevel="0" collapsed="false">
      <c r="A1876" s="0" t="s">
        <v>4437</v>
      </c>
      <c r="B1876" s="4" t="n">
        <v>46110</v>
      </c>
      <c r="C1876" s="0" t="s">
        <v>114</v>
      </c>
      <c r="D1876" s="0" t="n">
        <v>106</v>
      </c>
      <c r="E1876" s="0" t="s">
        <v>4438</v>
      </c>
      <c r="F1876" s="3" t="n">
        <f aca="false">D1876*_xlfn.XLOOKUP(C1876,Item_Master!A:A,Item_Master!G:G)</f>
        <v>62540</v>
      </c>
      <c r="G1876" s="0" t="str">
        <f aca="false">TEXT(B1876,"MMM YYYY")</f>
        <v>Mar 2026</v>
      </c>
    </row>
    <row r="1877" customFormat="false" ht="15" hidden="false" customHeight="false" outlineLevel="0" collapsed="false">
      <c r="A1877" s="0" t="s">
        <v>4439</v>
      </c>
      <c r="B1877" s="4" t="n">
        <v>46110</v>
      </c>
      <c r="C1877" s="0" t="s">
        <v>123</v>
      </c>
      <c r="D1877" s="0" t="n">
        <v>196</v>
      </c>
      <c r="E1877" s="0" t="s">
        <v>4440</v>
      </c>
      <c r="F1877" s="3" t="n">
        <f aca="false">D1877*_xlfn.XLOOKUP(C1877,Item_Master!A:A,Item_Master!G:G)</f>
        <v>2883160</v>
      </c>
      <c r="G1877" s="0" t="str">
        <f aca="false">TEXT(B1877,"MMM YYYY")</f>
        <v>Mar 2026</v>
      </c>
    </row>
    <row r="1878" customFormat="false" ht="15" hidden="false" customHeight="false" outlineLevel="0" collapsed="false">
      <c r="A1878" s="0" t="s">
        <v>4441</v>
      </c>
      <c r="B1878" s="4" t="n">
        <v>46110</v>
      </c>
      <c r="C1878" s="0" t="s">
        <v>200</v>
      </c>
      <c r="D1878" s="0" t="n">
        <v>181</v>
      </c>
      <c r="E1878" s="0" t="s">
        <v>4442</v>
      </c>
      <c r="F1878" s="3" t="n">
        <f aca="false">D1878*_xlfn.XLOOKUP(C1878,Item_Master!A:A,Item_Master!G:G)</f>
        <v>188240</v>
      </c>
      <c r="G1878" s="0" t="str">
        <f aca="false">TEXT(B1878,"MMM YYYY")</f>
        <v>Mar 2026</v>
      </c>
    </row>
    <row r="1879" customFormat="false" ht="15" hidden="false" customHeight="false" outlineLevel="0" collapsed="false">
      <c r="A1879" s="0" t="s">
        <v>4443</v>
      </c>
      <c r="B1879" s="4" t="n">
        <v>46110</v>
      </c>
      <c r="C1879" s="0" t="s">
        <v>341</v>
      </c>
      <c r="D1879" s="0" t="n">
        <v>48</v>
      </c>
      <c r="E1879" s="0" t="s">
        <v>4444</v>
      </c>
      <c r="F1879" s="3" t="n">
        <f aca="false">D1879*_xlfn.XLOOKUP(C1879,Item_Master!A:A,Item_Master!G:G)</f>
        <v>33600</v>
      </c>
      <c r="G1879" s="0" t="str">
        <f aca="false">TEXT(B1879,"MMM YYYY")</f>
        <v>Mar 2026</v>
      </c>
    </row>
    <row r="1880" customFormat="false" ht="15" hidden="false" customHeight="false" outlineLevel="0" collapsed="false">
      <c r="A1880" s="0" t="s">
        <v>4445</v>
      </c>
      <c r="B1880" s="4" t="n">
        <v>46110</v>
      </c>
      <c r="C1880" s="0" t="s">
        <v>448</v>
      </c>
      <c r="D1880" s="0" t="n">
        <v>85</v>
      </c>
      <c r="E1880" s="0" t="s">
        <v>4446</v>
      </c>
      <c r="F1880" s="3" t="n">
        <f aca="false">D1880*_xlfn.XLOOKUP(C1880,Item_Master!A:A,Item_Master!G:G)</f>
        <v>28900</v>
      </c>
      <c r="G1880" s="0" t="str">
        <f aca="false">TEXT(B1880,"MMM YYYY")</f>
        <v>Mar 2026</v>
      </c>
    </row>
    <row r="1881" customFormat="false" ht="15" hidden="false" customHeight="false" outlineLevel="0" collapsed="false">
      <c r="A1881" s="0" t="s">
        <v>4447</v>
      </c>
      <c r="B1881" s="4" t="n">
        <v>46110</v>
      </c>
      <c r="C1881" s="0" t="s">
        <v>473</v>
      </c>
      <c r="D1881" s="0" t="n">
        <v>205</v>
      </c>
      <c r="E1881" s="0" t="s">
        <v>4448</v>
      </c>
      <c r="F1881" s="3" t="n">
        <f aca="false">D1881*_xlfn.XLOOKUP(C1881,Item_Master!A:A,Item_Master!G:G)</f>
        <v>38950</v>
      </c>
      <c r="G1881" s="0" t="str">
        <f aca="false">TEXT(B1881,"MMM YYYY")</f>
        <v>Mar 2026</v>
      </c>
    </row>
    <row r="1882" customFormat="false" ht="15" hidden="false" customHeight="false" outlineLevel="0" collapsed="false">
      <c r="A1882" s="0" t="s">
        <v>4449</v>
      </c>
      <c r="B1882" s="4" t="n">
        <v>46111</v>
      </c>
      <c r="C1882" s="0" t="s">
        <v>172</v>
      </c>
      <c r="D1882" s="0" t="n">
        <v>42</v>
      </c>
      <c r="E1882" s="0" t="s">
        <v>4450</v>
      </c>
      <c r="F1882" s="3" t="n">
        <f aca="false">D1882*_xlfn.XLOOKUP(C1882,Item_Master!A:A,Item_Master!G:G)</f>
        <v>138600</v>
      </c>
      <c r="G1882" s="0" t="str">
        <f aca="false">TEXT(B1882,"MMM YYYY")</f>
        <v>Mar 2026</v>
      </c>
    </row>
    <row r="1883" customFormat="false" ht="15" hidden="false" customHeight="false" outlineLevel="0" collapsed="false">
      <c r="A1883" s="0" t="s">
        <v>4451</v>
      </c>
      <c r="B1883" s="4" t="n">
        <v>46111</v>
      </c>
      <c r="C1883" s="0" t="s">
        <v>310</v>
      </c>
      <c r="D1883" s="0" t="n">
        <v>412</v>
      </c>
      <c r="E1883" s="0" t="s">
        <v>4452</v>
      </c>
      <c r="F1883" s="3" t="n">
        <f aca="false">D1883*_xlfn.XLOOKUP(C1883,Item_Master!A:A,Item_Master!G:G)</f>
        <v>251320</v>
      </c>
      <c r="G1883" s="0" t="str">
        <f aca="false">TEXT(B1883,"MMM YYYY")</f>
        <v>Mar 2026</v>
      </c>
    </row>
    <row r="1884" customFormat="false" ht="15" hidden="false" customHeight="false" outlineLevel="0" collapsed="false">
      <c r="A1884" s="0" t="s">
        <v>4453</v>
      </c>
      <c r="B1884" s="4" t="n">
        <v>46111</v>
      </c>
      <c r="C1884" s="0" t="s">
        <v>351</v>
      </c>
      <c r="D1884" s="0" t="n">
        <v>27</v>
      </c>
      <c r="E1884" s="0" t="s">
        <v>4454</v>
      </c>
      <c r="F1884" s="3" t="n">
        <f aca="false">D1884*_xlfn.XLOOKUP(C1884,Item_Master!A:A,Item_Master!G:G)</f>
        <v>48060</v>
      </c>
      <c r="G1884" s="0" t="str">
        <f aca="false">TEXT(B1884,"MMM YYYY")</f>
        <v>Mar 2026</v>
      </c>
    </row>
    <row r="1885" customFormat="false" ht="15" hidden="false" customHeight="false" outlineLevel="0" collapsed="false">
      <c r="A1885" s="0" t="s">
        <v>4455</v>
      </c>
      <c r="B1885" s="4" t="n">
        <v>46111</v>
      </c>
      <c r="C1885" s="0" t="s">
        <v>645</v>
      </c>
      <c r="D1885" s="0" t="n">
        <v>167</v>
      </c>
      <c r="E1885" s="0" t="s">
        <v>4456</v>
      </c>
      <c r="F1885" s="3" t="n">
        <f aca="false">D1885*_xlfn.XLOOKUP(C1885,Item_Master!A:A,Item_Master!G:G)</f>
        <v>2022370</v>
      </c>
      <c r="G1885" s="0" t="str">
        <f aca="false">TEXT(B1885,"MMM YYYY")</f>
        <v>Mar 2026</v>
      </c>
    </row>
    <row r="1886" customFormat="false" ht="15" hidden="false" customHeight="false" outlineLevel="0" collapsed="false">
      <c r="A1886" s="0" t="s">
        <v>4457</v>
      </c>
      <c r="B1886" s="4" t="n">
        <v>46111</v>
      </c>
      <c r="C1886" s="0" t="s">
        <v>648</v>
      </c>
      <c r="D1886" s="0" t="n">
        <v>74</v>
      </c>
      <c r="E1886" s="0" t="s">
        <v>4458</v>
      </c>
      <c r="F1886" s="3" t="n">
        <f aca="false">D1886*_xlfn.XLOOKUP(C1886,Item_Master!A:A,Item_Master!G:G)</f>
        <v>1720500</v>
      </c>
      <c r="G1886" s="0" t="str">
        <f aca="false">TEXT(B1886,"MMM YYYY")</f>
        <v>Mar 2026</v>
      </c>
    </row>
    <row r="1887" customFormat="false" ht="15" hidden="false" customHeight="false" outlineLevel="0" collapsed="false">
      <c r="A1887" s="0" t="s">
        <v>4459</v>
      </c>
      <c r="B1887" s="4" t="n">
        <v>46111</v>
      </c>
      <c r="C1887" s="0" t="s">
        <v>663</v>
      </c>
      <c r="D1887" s="0" t="n">
        <v>196</v>
      </c>
      <c r="E1887" s="0" t="s">
        <v>4460</v>
      </c>
      <c r="F1887" s="3" t="n">
        <f aca="false">D1887*_xlfn.XLOOKUP(C1887,Item_Master!A:A,Item_Master!G:G)</f>
        <v>113680</v>
      </c>
      <c r="G1887" s="0" t="str">
        <f aca="false">TEXT(B1887,"MMM YYYY")</f>
        <v>Mar 2026</v>
      </c>
    </row>
    <row r="1888" customFormat="false" ht="15" hidden="false" customHeight="false" outlineLevel="0" collapsed="false">
      <c r="A1888" s="0" t="s">
        <v>4461</v>
      </c>
      <c r="B1888" s="4" t="n">
        <v>46112</v>
      </c>
      <c r="C1888" s="0" t="s">
        <v>584</v>
      </c>
      <c r="D1888" s="0" t="n">
        <v>74</v>
      </c>
      <c r="E1888" s="0" t="s">
        <v>4462</v>
      </c>
      <c r="F1888" s="3" t="n">
        <f aca="false">D1888*_xlfn.XLOOKUP(C1888,Item_Master!A:A,Item_Master!G:G)</f>
        <v>612720</v>
      </c>
      <c r="G1888" s="0" t="str">
        <f aca="false">TEXT(B1888,"MMM YYYY")</f>
        <v>Mar 2026</v>
      </c>
    </row>
    <row r="1889" customFormat="false" ht="15" hidden="false" customHeight="false" outlineLevel="0" collapsed="false">
      <c r="A1889" s="0" t="s">
        <v>4463</v>
      </c>
      <c r="B1889" s="4" t="n">
        <v>46112</v>
      </c>
      <c r="C1889" s="0" t="s">
        <v>626</v>
      </c>
      <c r="D1889" s="0" t="n">
        <v>106</v>
      </c>
      <c r="E1889" s="0" t="s">
        <v>4464</v>
      </c>
      <c r="F1889" s="3" t="n">
        <f aca="false">D1889*_xlfn.XLOOKUP(C1889,Item_Master!A:A,Item_Master!G:G)</f>
        <v>34980</v>
      </c>
      <c r="G1889" s="0" t="str">
        <f aca="false">TEXT(B1889,"MMM YYYY")</f>
        <v>Mar 2026</v>
      </c>
    </row>
    <row r="1890" customFormat="false" ht="15" hidden="false" customHeight="false" outlineLevel="0" collapsed="false">
      <c r="A1890" s="0" t="s">
        <v>4465</v>
      </c>
      <c r="B1890" s="4" t="n">
        <v>46112</v>
      </c>
      <c r="C1890" s="0" t="s">
        <v>700</v>
      </c>
      <c r="D1890" s="0" t="n">
        <v>165</v>
      </c>
      <c r="E1890" s="0" t="s">
        <v>4466</v>
      </c>
      <c r="F1890" s="3" t="n">
        <f aca="false">D1890*_xlfn.XLOOKUP(C1890,Item_Master!A:A,Item_Master!G:G)</f>
        <v>3172950</v>
      </c>
      <c r="G1890" s="0" t="str">
        <f aca="false">TEXT(B1890,"MMM YYYY")</f>
        <v>Mar 2026</v>
      </c>
    </row>
  </sheetData>
  <mergeCells count="1">
    <mergeCell ref="C1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1" sqref="H6:I15 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5" hidden="false" customHeight="false" outlineLevel="0" collapsed="false">
      <c r="C1" s="1" t="s">
        <v>4467</v>
      </c>
      <c r="D1" s="1"/>
    </row>
    <row r="2" customFormat="false" ht="15" hidden="false" customHeight="false" outlineLevel="0" collapsed="false">
      <c r="C2" s="1"/>
      <c r="D2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4468</v>
      </c>
      <c r="E3" s="2" t="s">
        <v>7</v>
      </c>
      <c r="F3" s="2" t="s">
        <v>4469</v>
      </c>
    </row>
    <row r="4" customFormat="false" ht="15" hidden="false" customHeight="false" outlineLevel="0" collapsed="false">
      <c r="A4" s="0" t="s">
        <v>8</v>
      </c>
      <c r="B4" s="0" t="str">
        <f aca="false">_xlfn.XLOOKUP(A4,Item_Master!A:A,Item_Master!B:B)</f>
        <v>Dulux Enamel Paint 4L</v>
      </c>
      <c r="C4" s="0" t="str">
        <f aca="false">_xlfn.XLOOKUP(A4,Item_Master!A:A,Item_Master!C:C)</f>
        <v>Paints &amp; Coatings</v>
      </c>
      <c r="D4" s="0" t="n">
        <f aca="false">SUMIFS(Sales!D:D,Sales!C:C,A4)</f>
        <v>116</v>
      </c>
      <c r="E4" s="3" t="n">
        <f aca="false">_xlfn.XLOOKUP(A4,Item_Master!A:A,Item_Master!G:G)</f>
        <v>2160</v>
      </c>
      <c r="F4" s="3" t="n">
        <f aca="false">D4*E4</f>
        <v>250560</v>
      </c>
    </row>
    <row r="5" customFormat="false" ht="15" hidden="false" customHeight="false" outlineLevel="0" collapsed="false">
      <c r="A5" s="0" t="s">
        <v>13</v>
      </c>
      <c r="B5" s="0" t="str">
        <f aca="false">_xlfn.XLOOKUP(A5,Item_Master!A:A,Item_Master!B:B)</f>
        <v>Philips PVC Wire 2.5 sqmm</v>
      </c>
      <c r="C5" s="0" t="str">
        <f aca="false">_xlfn.XLOOKUP(A5,Item_Master!A:A,Item_Master!C:C)</f>
        <v>Electrical</v>
      </c>
      <c r="D5" s="0" t="n">
        <f aca="false">SUMIFS(Sales!D:D,Sales!C:C,A5)</f>
        <v>96</v>
      </c>
      <c r="E5" s="3" t="n">
        <f aca="false">_xlfn.XLOOKUP(A5,Item_Master!A:A,Item_Master!G:G)</f>
        <v>2120</v>
      </c>
      <c r="F5" s="3" t="n">
        <f aca="false">D5*E5</f>
        <v>203520</v>
      </c>
    </row>
    <row r="6" customFormat="false" ht="15" hidden="false" customHeight="false" outlineLevel="0" collapsed="false">
      <c r="A6" s="0" t="s">
        <v>17</v>
      </c>
      <c r="B6" s="0" t="str">
        <f aca="false">_xlfn.XLOOKUP(A6,Item_Master!A:A,Item_Master!B:B)</f>
        <v>Karam Ear Plugs Silicone</v>
      </c>
      <c r="C6" s="0" t="str">
        <f aca="false">_xlfn.XLOOKUP(A6,Item_Master!A:A,Item_Master!C:C)</f>
        <v>Safety Gear</v>
      </c>
      <c r="D6" s="0" t="n">
        <f aca="false">SUMIFS(Sales!D:D,Sales!C:C,A6)</f>
        <v>25</v>
      </c>
      <c r="E6" s="3" t="n">
        <f aca="false">_xlfn.XLOOKUP(A6,Item_Master!A:A,Item_Master!G:G)</f>
        <v>930</v>
      </c>
      <c r="F6" s="3" t="n">
        <f aca="false">D6*E6</f>
        <v>23250</v>
      </c>
    </row>
    <row r="7" customFormat="false" ht="15" hidden="false" customHeight="false" outlineLevel="0" collapsed="false">
      <c r="A7" s="0" t="s">
        <v>21</v>
      </c>
      <c r="B7" s="0" t="str">
        <f aca="false">_xlfn.XLOOKUP(A7,Item_Master!A:A,Item_Master!B:B)</f>
        <v>Stanley Claw Hammer 8oz</v>
      </c>
      <c r="C7" s="0" t="str">
        <f aca="false">_xlfn.XLOOKUP(A7,Item_Master!A:A,Item_Master!C:C)</f>
        <v>Hand Tools</v>
      </c>
      <c r="D7" s="0" t="n">
        <f aca="false">SUMIFS(Sales!D:D,Sales!C:C,A7)</f>
        <v>50</v>
      </c>
      <c r="E7" s="3" t="n">
        <f aca="false">_xlfn.XLOOKUP(A7,Item_Master!A:A,Item_Master!G:G)</f>
        <v>1330</v>
      </c>
      <c r="F7" s="3" t="n">
        <f aca="false">D7*E7</f>
        <v>66500</v>
      </c>
    </row>
    <row r="8" customFormat="false" ht="15" hidden="false" customHeight="false" outlineLevel="0" collapsed="false">
      <c r="A8" s="0" t="s">
        <v>26</v>
      </c>
      <c r="B8" s="0" t="str">
        <f aca="false">_xlfn.XLOOKUP(A8,Item_Master!A:A,Item_Master!B:B)</f>
        <v>Europa Door Stopper Floor</v>
      </c>
      <c r="C8" s="0" t="str">
        <f aca="false">_xlfn.XLOOKUP(A8,Item_Master!A:A,Item_Master!C:C)</f>
        <v>Hardware</v>
      </c>
      <c r="D8" s="0" t="n">
        <f aca="false">SUMIFS(Sales!D:D,Sales!C:C,A8)</f>
        <v>73</v>
      </c>
      <c r="E8" s="3" t="n">
        <f aca="false">_xlfn.XLOOKUP(A8,Item_Master!A:A,Item_Master!G:G)</f>
        <v>1320</v>
      </c>
      <c r="F8" s="3" t="n">
        <f aca="false">D8*E8</f>
        <v>96360</v>
      </c>
    </row>
    <row r="9" customFormat="false" ht="15" hidden="false" customHeight="false" outlineLevel="0" collapsed="false">
      <c r="A9" s="0" t="s">
        <v>30</v>
      </c>
      <c r="B9" s="0" t="str">
        <f aca="false">_xlfn.XLOOKUP(A9,Item_Master!A:A,Item_Master!B:B)</f>
        <v>Stanley Adjustable Wrench 12 inch</v>
      </c>
      <c r="C9" s="0" t="str">
        <f aca="false">_xlfn.XLOOKUP(A9,Item_Master!A:A,Item_Master!C:C)</f>
        <v>Hand Tools</v>
      </c>
      <c r="D9" s="0" t="n">
        <f aca="false">SUMIFS(Sales!D:D,Sales!C:C,A9)</f>
        <v>50</v>
      </c>
      <c r="E9" s="3" t="n">
        <f aca="false">_xlfn.XLOOKUP(A9,Item_Master!A:A,Item_Master!G:G)</f>
        <v>1810</v>
      </c>
      <c r="F9" s="3" t="n">
        <f aca="false">D9*E9</f>
        <v>90500</v>
      </c>
    </row>
    <row r="10" customFormat="false" ht="15" hidden="false" customHeight="false" outlineLevel="0" collapsed="false">
      <c r="A10" s="0" t="s">
        <v>32</v>
      </c>
      <c r="B10" s="0" t="str">
        <f aca="false">_xlfn.XLOOKUP(A10,Item_Master!A:A,Item_Master!B:B)</f>
        <v>Mallcom Safety Harness Full Body</v>
      </c>
      <c r="C10" s="0" t="str">
        <f aca="false">_xlfn.XLOOKUP(A10,Item_Master!A:A,Item_Master!C:C)</f>
        <v>Safety Gear</v>
      </c>
      <c r="D10" s="0" t="n">
        <f aca="false">SUMIFS(Sales!D:D,Sales!C:C,A10)</f>
        <v>139</v>
      </c>
      <c r="E10" s="3" t="n">
        <f aca="false">_xlfn.XLOOKUP(A10,Item_Master!A:A,Item_Master!G:G)</f>
        <v>4060</v>
      </c>
      <c r="F10" s="3" t="n">
        <f aca="false">D10*E10</f>
        <v>564340</v>
      </c>
    </row>
    <row r="11" customFormat="false" ht="15" hidden="false" customHeight="false" outlineLevel="0" collapsed="false">
      <c r="A11" s="0" t="s">
        <v>35</v>
      </c>
      <c r="B11" s="0" t="str">
        <f aca="false">_xlfn.XLOOKUP(A11,Item_Master!A:A,Item_Master!B:B)</f>
        <v>Europa Bracket L-Shape</v>
      </c>
      <c r="C11" s="0" t="str">
        <f aca="false">_xlfn.XLOOKUP(A11,Item_Master!A:A,Item_Master!C:C)</f>
        <v>Hardware</v>
      </c>
      <c r="D11" s="0" t="n">
        <f aca="false">SUMIFS(Sales!D:D,Sales!C:C,A11)</f>
        <v>36</v>
      </c>
      <c r="E11" s="3" t="n">
        <f aca="false">_xlfn.XLOOKUP(A11,Item_Master!A:A,Item_Master!G:G)</f>
        <v>1920</v>
      </c>
      <c r="F11" s="3" t="n">
        <f aca="false">D11*E11</f>
        <v>69120</v>
      </c>
    </row>
    <row r="12" customFormat="false" ht="15" hidden="false" customHeight="false" outlineLevel="0" collapsed="false">
      <c r="A12" s="0" t="s">
        <v>37</v>
      </c>
      <c r="B12" s="0" t="str">
        <f aca="false">_xlfn.XLOOKUP(A12,Item_Master!A:A,Item_Master!B:B)</f>
        <v>Loctite Masking Tape 24mm</v>
      </c>
      <c r="C12" s="0" t="str">
        <f aca="false">_xlfn.XLOOKUP(A12,Item_Master!A:A,Item_Master!C:C)</f>
        <v>Adhesives &amp; Sealants</v>
      </c>
      <c r="D12" s="0" t="n">
        <f aca="false">SUMIFS(Sales!D:D,Sales!C:C,A12)</f>
        <v>61</v>
      </c>
      <c r="E12" s="3" t="n">
        <f aca="false">_xlfn.XLOOKUP(A12,Item_Master!A:A,Item_Master!G:G)</f>
        <v>540</v>
      </c>
      <c r="F12" s="3" t="n">
        <f aca="false">D12*E12</f>
        <v>32940</v>
      </c>
    </row>
    <row r="13" customFormat="false" ht="15" hidden="false" customHeight="false" outlineLevel="0" collapsed="false">
      <c r="A13" s="0" t="s">
        <v>41</v>
      </c>
      <c r="B13" s="0" t="str">
        <f aca="false">_xlfn.XLOOKUP(A13,Item_Master!A:A,Item_Master!B:B)</f>
        <v>3M Safety Goggles Clear</v>
      </c>
      <c r="C13" s="0" t="str">
        <f aca="false">_xlfn.XLOOKUP(A13,Item_Master!A:A,Item_Master!C:C)</f>
        <v>Safety Gear</v>
      </c>
      <c r="D13" s="0" t="n">
        <f aca="false">SUMIFS(Sales!D:D,Sales!C:C,A13)</f>
        <v>177</v>
      </c>
      <c r="E13" s="3" t="n">
        <f aca="false">_xlfn.XLOOKUP(A13,Item_Master!A:A,Item_Master!G:G)</f>
        <v>1020</v>
      </c>
      <c r="F13" s="3" t="n">
        <f aca="false">D13*E13</f>
        <v>180540</v>
      </c>
    </row>
    <row r="14" customFormat="false" ht="15" hidden="false" customHeight="false" outlineLevel="0" collapsed="false">
      <c r="A14" s="0" t="s">
        <v>44</v>
      </c>
      <c r="B14" s="0" t="str">
        <f aca="false">_xlfn.XLOOKUP(A14,Item_Master!A:A,Item_Master!B:B)</f>
        <v>Bosi Screwdriver Set 12 pc</v>
      </c>
      <c r="C14" s="0" t="str">
        <f aca="false">_xlfn.XLOOKUP(A14,Item_Master!A:A,Item_Master!C:C)</f>
        <v>Hand Tools</v>
      </c>
      <c r="D14" s="0" t="n">
        <f aca="false">SUMIFS(Sales!D:D,Sales!C:C,A14)</f>
        <v>46</v>
      </c>
      <c r="E14" s="3" t="n">
        <f aca="false">_xlfn.XLOOKUP(A14,Item_Master!A:A,Item_Master!G:G)</f>
        <v>1630</v>
      </c>
      <c r="F14" s="3" t="n">
        <f aca="false">D14*E14</f>
        <v>74980</v>
      </c>
    </row>
    <row r="15" customFormat="false" ht="15" hidden="false" customHeight="false" outlineLevel="0" collapsed="false">
      <c r="A15" s="0" t="s">
        <v>47</v>
      </c>
      <c r="B15" s="0" t="str">
        <f aca="false">_xlfn.XLOOKUP(A15,Item_Master!A:A,Item_Master!B:B)</f>
        <v>TVS Allen Key Set Imperial</v>
      </c>
      <c r="C15" s="0" t="str">
        <f aca="false">_xlfn.XLOOKUP(A15,Item_Master!A:A,Item_Master!C:C)</f>
        <v>Hand Tools</v>
      </c>
      <c r="D15" s="0" t="n">
        <f aca="false">SUMIFS(Sales!D:D,Sales!C:C,A15)</f>
        <v>164</v>
      </c>
      <c r="E15" s="3" t="n">
        <f aca="false">_xlfn.XLOOKUP(A15,Item_Master!A:A,Item_Master!G:G)</f>
        <v>300</v>
      </c>
      <c r="F15" s="3" t="n">
        <f aca="false">D15*E15</f>
        <v>49200</v>
      </c>
    </row>
    <row r="16" customFormat="false" ht="15" hidden="false" customHeight="false" outlineLevel="0" collapsed="false">
      <c r="A16" s="0" t="s">
        <v>51</v>
      </c>
      <c r="B16" s="0" t="str">
        <f aca="false">_xlfn.XLOOKUP(A16,Item_Master!A:A,Item_Master!B:B)</f>
        <v>Crompton Rotary Hammer SDS Plus</v>
      </c>
      <c r="C16" s="0" t="str">
        <f aca="false">_xlfn.XLOOKUP(A16,Item_Master!A:A,Item_Master!C:C)</f>
        <v>Power Tools</v>
      </c>
      <c r="D16" s="0" t="n">
        <f aca="false">SUMIFS(Sales!D:D,Sales!C:C,A16)</f>
        <v>253</v>
      </c>
      <c r="E16" s="3" t="n">
        <f aca="false">_xlfn.XLOOKUP(A16,Item_Master!A:A,Item_Master!G:G)</f>
        <v>12560</v>
      </c>
      <c r="F16" s="3" t="n">
        <f aca="false">D16*E16</f>
        <v>3177680</v>
      </c>
    </row>
    <row r="17" customFormat="false" ht="15" hidden="false" customHeight="false" outlineLevel="0" collapsed="false">
      <c r="A17" s="0" t="s">
        <v>55</v>
      </c>
      <c r="B17" s="0" t="str">
        <f aca="false">_xlfn.XLOOKUP(A17,Item_Master!A:A,Item_Master!B:B)</f>
        <v>Yale Bracket L-Shape</v>
      </c>
      <c r="C17" s="0" t="str">
        <f aca="false">_xlfn.XLOOKUP(A17,Item_Master!A:A,Item_Master!C:C)</f>
        <v>Hardware</v>
      </c>
      <c r="D17" s="0" t="n">
        <f aca="false">SUMIFS(Sales!D:D,Sales!C:C,A17)</f>
        <v>15</v>
      </c>
      <c r="E17" s="3" t="n">
        <f aca="false">_xlfn.XLOOKUP(A17,Item_Master!A:A,Item_Master!G:G)</f>
        <v>2920</v>
      </c>
      <c r="F17" s="3" t="n">
        <f aca="false">D17*E17</f>
        <v>43800</v>
      </c>
    </row>
    <row r="18" customFormat="false" ht="15" hidden="false" customHeight="false" outlineLevel="0" collapsed="false">
      <c r="A18" s="0" t="s">
        <v>58</v>
      </c>
      <c r="B18" s="0" t="str">
        <f aca="false">_xlfn.XLOOKUP(A18,Item_Master!A:A,Item_Master!B:B)</f>
        <v>Taparia Hacksaw Frame Standard</v>
      </c>
      <c r="C18" s="0" t="str">
        <f aca="false">_xlfn.XLOOKUP(A18,Item_Master!A:A,Item_Master!C:C)</f>
        <v>Hand Tools</v>
      </c>
      <c r="D18" s="0" t="n">
        <f aca="false">SUMIFS(Sales!D:D,Sales!C:C,A18)</f>
        <v>65</v>
      </c>
      <c r="E18" s="3" t="n">
        <f aca="false">_xlfn.XLOOKUP(A18,Item_Master!A:A,Item_Master!G:G)</f>
        <v>1010</v>
      </c>
      <c r="F18" s="3" t="n">
        <f aca="false">D18*E18</f>
        <v>65650</v>
      </c>
    </row>
    <row r="19" customFormat="false" ht="15" hidden="false" customHeight="false" outlineLevel="0" collapsed="false">
      <c r="A19" s="0" t="s">
        <v>61</v>
      </c>
      <c r="B19" s="0" t="str">
        <f aca="false">_xlfn.XLOOKUP(A19,Item_Master!A:A,Item_Master!B:B)</f>
        <v>Hafele Cabinet Knob Chrome</v>
      </c>
      <c r="C19" s="0" t="str">
        <f aca="false">_xlfn.XLOOKUP(A19,Item_Master!A:A,Item_Master!C:C)</f>
        <v>Hardware</v>
      </c>
      <c r="D19" s="0" t="n">
        <f aca="false">SUMIFS(Sales!D:D,Sales!C:C,A19)</f>
        <v>52</v>
      </c>
      <c r="E19" s="3" t="n">
        <f aca="false">_xlfn.XLOOKUP(A19,Item_Master!A:A,Item_Master!G:G)</f>
        <v>1930</v>
      </c>
      <c r="F19" s="3" t="n">
        <f aca="false">D19*E19</f>
        <v>100360</v>
      </c>
    </row>
    <row r="20" customFormat="false" ht="15" hidden="false" customHeight="false" outlineLevel="0" collapsed="false">
      <c r="A20" s="0" t="s">
        <v>64</v>
      </c>
      <c r="B20" s="0" t="str">
        <f aca="false">_xlfn.XLOOKUP(A20,Item_Master!A:A,Item_Master!B:B)</f>
        <v>Astral Shower Head Standard</v>
      </c>
      <c r="C20" s="0" t="str">
        <f aca="false">_xlfn.XLOOKUP(A20,Item_Master!A:A,Item_Master!C:C)</f>
        <v>Plumbing</v>
      </c>
      <c r="D20" s="0" t="n">
        <f aca="false">SUMIFS(Sales!D:D,Sales!C:C,A20)</f>
        <v>61</v>
      </c>
      <c r="E20" s="3" t="n">
        <f aca="false">_xlfn.XLOOKUP(A20,Item_Master!A:A,Item_Master!G:G)</f>
        <v>1540</v>
      </c>
      <c r="F20" s="3" t="n">
        <f aca="false">D20*E20</f>
        <v>93940</v>
      </c>
    </row>
    <row r="21" customFormat="false" ht="15" hidden="false" customHeight="false" outlineLevel="0" collapsed="false">
      <c r="A21" s="0" t="s">
        <v>68</v>
      </c>
      <c r="B21" s="0" t="str">
        <f aca="false">_xlfn.XLOOKUP(A21,Item_Master!A:A,Item_Master!B:B)</f>
        <v>Havells LED Bulb 9W</v>
      </c>
      <c r="C21" s="0" t="str">
        <f aca="false">_xlfn.XLOOKUP(A21,Item_Master!A:A,Item_Master!C:C)</f>
        <v>Electrical</v>
      </c>
      <c r="D21" s="0" t="n">
        <f aca="false">SUMIFS(Sales!D:D,Sales!C:C,A21)</f>
        <v>59</v>
      </c>
      <c r="E21" s="3" t="n">
        <f aca="false">_xlfn.XLOOKUP(A21,Item_Master!A:A,Item_Master!G:G)</f>
        <v>1350</v>
      </c>
      <c r="F21" s="3" t="n">
        <f aca="false">D21*E21</f>
        <v>79650</v>
      </c>
    </row>
    <row r="22" customFormat="false" ht="15" hidden="false" customHeight="false" outlineLevel="0" collapsed="false">
      <c r="A22" s="0" t="s">
        <v>71</v>
      </c>
      <c r="B22" s="0" t="str">
        <f aca="false">_xlfn.XLOOKUP(A22,Item_Master!A:A,Item_Master!B:B)</f>
        <v>Anchor Self-tapping Screws No.10</v>
      </c>
      <c r="C22" s="0" t="str">
        <f aca="false">_xlfn.XLOOKUP(A22,Item_Master!A:A,Item_Master!C:C)</f>
        <v>Fasteners</v>
      </c>
      <c r="D22" s="0" t="n">
        <f aca="false">SUMIFS(Sales!D:D,Sales!C:C,A22)</f>
        <v>92</v>
      </c>
      <c r="E22" s="3" t="n">
        <f aca="false">_xlfn.XLOOKUP(A22,Item_Master!A:A,Item_Master!G:G)</f>
        <v>470</v>
      </c>
      <c r="F22" s="3" t="n">
        <f aca="false">D22*E22</f>
        <v>43240</v>
      </c>
    </row>
    <row r="23" customFormat="false" ht="15" hidden="false" customHeight="false" outlineLevel="0" collapsed="false">
      <c r="A23" s="0" t="s">
        <v>75</v>
      </c>
      <c r="B23" s="0" t="str">
        <f aca="false">_xlfn.XLOOKUP(A23,Item_Master!A:A,Item_Master!B:B)</f>
        <v>Mallcom Ear Plugs Foam</v>
      </c>
      <c r="C23" s="0" t="str">
        <f aca="false">_xlfn.XLOOKUP(A23,Item_Master!A:A,Item_Master!C:C)</f>
        <v>Safety Gear</v>
      </c>
      <c r="D23" s="0" t="n">
        <f aca="false">SUMIFS(Sales!D:D,Sales!C:C,A23)</f>
        <v>54</v>
      </c>
      <c r="E23" s="3" t="n">
        <f aca="false">_xlfn.XLOOKUP(A23,Item_Master!A:A,Item_Master!G:G)</f>
        <v>2340</v>
      </c>
      <c r="F23" s="3" t="n">
        <f aca="false">D23*E23</f>
        <v>126360</v>
      </c>
    </row>
    <row r="24" customFormat="false" ht="15" hidden="false" customHeight="false" outlineLevel="0" collapsed="false">
      <c r="A24" s="0" t="s">
        <v>77</v>
      </c>
      <c r="B24" s="0" t="str">
        <f aca="false">_xlfn.XLOOKUP(A24,Item_Master!A:A,Item_Master!B:B)</f>
        <v>Taparia Spirit Level 12 inch</v>
      </c>
      <c r="C24" s="0" t="str">
        <f aca="false">_xlfn.XLOOKUP(A24,Item_Master!A:A,Item_Master!C:C)</f>
        <v>Hand Tools</v>
      </c>
      <c r="D24" s="0" t="n">
        <f aca="false">SUMIFS(Sales!D:D,Sales!C:C,A24)</f>
        <v>188</v>
      </c>
      <c r="E24" s="3" t="n">
        <f aca="false">_xlfn.XLOOKUP(A24,Item_Master!A:A,Item_Master!G:G)</f>
        <v>950</v>
      </c>
      <c r="F24" s="3" t="n">
        <f aca="false">D24*E24</f>
        <v>178600</v>
      </c>
    </row>
    <row r="25" customFormat="false" ht="15" hidden="false" customHeight="false" outlineLevel="0" collapsed="false">
      <c r="A25" s="0" t="s">
        <v>79</v>
      </c>
      <c r="B25" s="0" t="str">
        <f aca="false">_xlfn.XLOOKUP(A25,Item_Master!A:A,Item_Master!B:B)</f>
        <v>Havells MCB 32A</v>
      </c>
      <c r="C25" s="0" t="str">
        <f aca="false">_xlfn.XLOOKUP(A25,Item_Master!A:A,Item_Master!C:C)</f>
        <v>Electrical</v>
      </c>
      <c r="D25" s="0" t="n">
        <f aca="false">SUMIFS(Sales!D:D,Sales!C:C,A25)</f>
        <v>74</v>
      </c>
      <c r="E25" s="3" t="n">
        <f aca="false">_xlfn.XLOOKUP(A25,Item_Master!A:A,Item_Master!G:G)</f>
        <v>2160</v>
      </c>
      <c r="F25" s="3" t="n">
        <f aca="false">D25*E25</f>
        <v>159840</v>
      </c>
    </row>
    <row r="26" customFormat="false" ht="15" hidden="false" customHeight="false" outlineLevel="0" collapsed="false">
      <c r="A26" s="0" t="s">
        <v>81</v>
      </c>
      <c r="B26" s="0" t="str">
        <f aca="false">_xlfn.XLOOKUP(A26,Item_Master!A:A,Item_Master!B:B)</f>
        <v>Hafele Door Handle Brass</v>
      </c>
      <c r="C26" s="0" t="str">
        <f aca="false">_xlfn.XLOOKUP(A26,Item_Master!A:A,Item_Master!C:C)</f>
        <v>Hardware</v>
      </c>
      <c r="D26" s="0" t="n">
        <f aca="false">SUMIFS(Sales!D:D,Sales!C:C,A26)</f>
        <v>159</v>
      </c>
      <c r="E26" s="3" t="n">
        <f aca="false">_xlfn.XLOOKUP(A26,Item_Master!A:A,Item_Master!G:G)</f>
        <v>2820</v>
      </c>
      <c r="F26" s="3" t="n">
        <f aca="false">D26*E26</f>
        <v>448380</v>
      </c>
    </row>
    <row r="27" customFormat="false" ht="15" hidden="false" customHeight="false" outlineLevel="0" collapsed="false">
      <c r="A27" s="0" t="s">
        <v>83</v>
      </c>
      <c r="B27" s="0" t="str">
        <f aca="false">_xlfn.XLOOKUP(A27,Item_Master!A:A,Item_Master!B:B)</f>
        <v>Wolf-Garten Lawn Mower Electric</v>
      </c>
      <c r="C27" s="0" t="str">
        <f aca="false">_xlfn.XLOOKUP(A27,Item_Master!A:A,Item_Master!C:C)</f>
        <v>Garden Tools</v>
      </c>
      <c r="D27" s="0" t="n">
        <f aca="false">SUMIFS(Sales!D:D,Sales!C:C,A27)</f>
        <v>128</v>
      </c>
      <c r="E27" s="3" t="n">
        <f aca="false">_xlfn.XLOOKUP(A27,Item_Master!A:A,Item_Master!G:G)</f>
        <v>5590</v>
      </c>
      <c r="F27" s="3" t="n">
        <f aca="false">D27*E27</f>
        <v>715520</v>
      </c>
    </row>
    <row r="28" customFormat="false" ht="15" hidden="false" customHeight="false" outlineLevel="0" collapsed="false">
      <c r="A28" s="0" t="s">
        <v>87</v>
      </c>
      <c r="B28" s="0" t="str">
        <f aca="false">_xlfn.XLOOKUP(A28,Item_Master!A:A,Item_Master!B:B)</f>
        <v>Hettich Cabinet Knob Steel</v>
      </c>
      <c r="C28" s="0" t="str">
        <f aca="false">_xlfn.XLOOKUP(A28,Item_Master!A:A,Item_Master!C:C)</f>
        <v>Hardware</v>
      </c>
      <c r="D28" s="0" t="n">
        <f aca="false">SUMIFS(Sales!D:D,Sales!C:C,A28)</f>
        <v>254</v>
      </c>
      <c r="E28" s="3" t="n">
        <f aca="false">_xlfn.XLOOKUP(A28,Item_Master!A:A,Item_Master!G:G)</f>
        <v>1990</v>
      </c>
      <c r="F28" s="3" t="n">
        <f aca="false">D28*E28</f>
        <v>505460</v>
      </c>
    </row>
    <row r="29" customFormat="false" ht="15" hidden="false" customHeight="false" outlineLevel="0" collapsed="false">
      <c r="A29" s="0" t="s">
        <v>90</v>
      </c>
      <c r="B29" s="0" t="str">
        <f aca="false">_xlfn.XLOOKUP(A29,Item_Master!A:A,Item_Master!B:B)</f>
        <v>Anchor Anchor Bolts M10</v>
      </c>
      <c r="C29" s="0" t="str">
        <f aca="false">_xlfn.XLOOKUP(A29,Item_Master!A:A,Item_Master!C:C)</f>
        <v>Fasteners</v>
      </c>
      <c r="D29" s="0" t="n">
        <f aca="false">SUMIFS(Sales!D:D,Sales!C:C,A29)</f>
        <v>81</v>
      </c>
      <c r="E29" s="3" t="n">
        <f aca="false">_xlfn.XLOOKUP(A29,Item_Master!A:A,Item_Master!G:G)</f>
        <v>120</v>
      </c>
      <c r="F29" s="3" t="n">
        <f aca="false">D29*E29</f>
        <v>9720</v>
      </c>
    </row>
    <row r="30" customFormat="false" ht="15" hidden="false" customHeight="false" outlineLevel="0" collapsed="false">
      <c r="A30" s="0" t="s">
        <v>92</v>
      </c>
      <c r="B30" s="0" t="str">
        <f aca="false">_xlfn.XLOOKUP(A30,Item_Master!A:A,Item_Master!B:B)</f>
        <v>Visko Pliers Cutting</v>
      </c>
      <c r="C30" s="0" t="str">
        <f aca="false">_xlfn.XLOOKUP(A30,Item_Master!A:A,Item_Master!C:C)</f>
        <v>Hand Tools</v>
      </c>
      <c r="D30" s="0" t="n">
        <f aca="false">SUMIFS(Sales!D:D,Sales!C:C,A30)</f>
        <v>54</v>
      </c>
      <c r="E30" s="3" t="n">
        <f aca="false">_xlfn.XLOOKUP(A30,Item_Master!A:A,Item_Master!G:G)</f>
        <v>2430</v>
      </c>
      <c r="F30" s="3" t="n">
        <f aca="false">D30*E30</f>
        <v>131220</v>
      </c>
    </row>
    <row r="31" customFormat="false" ht="15" hidden="false" customHeight="false" outlineLevel="0" collapsed="false">
      <c r="A31" s="0" t="s">
        <v>95</v>
      </c>
      <c r="B31" s="0" t="str">
        <f aca="false">_xlfn.XLOOKUP(A31,Item_Master!A:A,Item_Master!B:B)</f>
        <v>Finolex PVC Wire 4 sqmm</v>
      </c>
      <c r="C31" s="0" t="str">
        <f aca="false">_xlfn.XLOOKUP(A31,Item_Master!A:A,Item_Master!C:C)</f>
        <v>Electrical</v>
      </c>
      <c r="D31" s="0" t="n">
        <f aca="false">SUMIFS(Sales!D:D,Sales!C:C,A31)</f>
        <v>67</v>
      </c>
      <c r="E31" s="3" t="n">
        <f aca="false">_xlfn.XLOOKUP(A31,Item_Master!A:A,Item_Master!G:G)</f>
        <v>3640</v>
      </c>
      <c r="F31" s="3" t="n">
        <f aca="false">D31*E31</f>
        <v>243880</v>
      </c>
    </row>
    <row r="32" customFormat="false" ht="15" hidden="false" customHeight="false" outlineLevel="0" collapsed="false">
      <c r="A32" s="0" t="s">
        <v>98</v>
      </c>
      <c r="B32" s="0" t="str">
        <f aca="false">_xlfn.XLOOKUP(A32,Item_Master!A:A,Item_Master!B:B)</f>
        <v>Astral Ball Valve 1/2 inch</v>
      </c>
      <c r="C32" s="0" t="str">
        <f aca="false">_xlfn.XLOOKUP(A32,Item_Master!A:A,Item_Master!C:C)</f>
        <v>Plumbing</v>
      </c>
      <c r="D32" s="0" t="n">
        <f aca="false">SUMIFS(Sales!D:D,Sales!C:C,A32)</f>
        <v>223</v>
      </c>
      <c r="E32" s="3" t="n">
        <f aca="false">_xlfn.XLOOKUP(A32,Item_Master!A:A,Item_Master!G:G)</f>
        <v>990</v>
      </c>
      <c r="F32" s="3" t="n">
        <f aca="false">D32*E32</f>
        <v>220770</v>
      </c>
    </row>
    <row r="33" customFormat="false" ht="15" hidden="false" customHeight="false" outlineLevel="0" collapsed="false">
      <c r="A33" s="0" t="s">
        <v>100</v>
      </c>
      <c r="B33" s="0" t="str">
        <f aca="false">_xlfn.XLOOKUP(A33,Item_Master!A:A,Item_Master!B:B)</f>
        <v>Trustbasket Watering Can 10L</v>
      </c>
      <c r="C33" s="0" t="str">
        <f aca="false">_xlfn.XLOOKUP(A33,Item_Master!A:A,Item_Master!C:C)</f>
        <v>Garden Tools</v>
      </c>
      <c r="D33" s="0" t="n">
        <f aca="false">SUMIFS(Sales!D:D,Sales!C:C,A33)</f>
        <v>242</v>
      </c>
      <c r="E33" s="3" t="n">
        <f aca="false">_xlfn.XLOOKUP(A33,Item_Master!A:A,Item_Master!G:G)</f>
        <v>10110</v>
      </c>
      <c r="F33" s="3" t="n">
        <f aca="false">D33*E33</f>
        <v>2446620</v>
      </c>
    </row>
    <row r="34" customFormat="false" ht="15" hidden="false" customHeight="false" outlineLevel="0" collapsed="false">
      <c r="A34" s="0" t="s">
        <v>103</v>
      </c>
      <c r="B34" s="0" t="str">
        <f aca="false">_xlfn.XLOOKUP(A34,Item_Master!A:A,Item_Master!B:B)</f>
        <v>Hettich Door Stopper Magnetic</v>
      </c>
      <c r="C34" s="0" t="str">
        <f aca="false">_xlfn.XLOOKUP(A34,Item_Master!A:A,Item_Master!C:C)</f>
        <v>Hardware</v>
      </c>
      <c r="D34" s="0" t="n">
        <f aca="false">SUMIFS(Sales!D:D,Sales!C:C,A34)</f>
        <v>58</v>
      </c>
      <c r="E34" s="3" t="n">
        <f aca="false">_xlfn.XLOOKUP(A34,Item_Master!A:A,Item_Master!G:G)</f>
        <v>1800</v>
      </c>
      <c r="F34" s="3" t="n">
        <f aca="false">D34*E34</f>
        <v>104400</v>
      </c>
    </row>
    <row r="35" customFormat="false" ht="15" hidden="false" customHeight="false" outlineLevel="0" collapsed="false">
      <c r="A35" s="0" t="s">
        <v>105</v>
      </c>
      <c r="B35" s="0" t="str">
        <f aca="false">_xlfn.XLOOKUP(A35,Item_Master!A:A,Item_Master!B:B)</f>
        <v>DeWalt Circular Saw 10 inch</v>
      </c>
      <c r="C35" s="0" t="str">
        <f aca="false">_xlfn.XLOOKUP(A35,Item_Master!A:A,Item_Master!C:C)</f>
        <v>Power Tools</v>
      </c>
      <c r="D35" s="0" t="n">
        <f aca="false">SUMIFS(Sales!D:D,Sales!C:C,A35)</f>
        <v>103</v>
      </c>
      <c r="E35" s="3" t="n">
        <f aca="false">_xlfn.XLOOKUP(A35,Item_Master!A:A,Item_Master!G:G)</f>
        <v>13720</v>
      </c>
      <c r="F35" s="3" t="n">
        <f aca="false">D35*E35</f>
        <v>1413160</v>
      </c>
    </row>
    <row r="36" customFormat="false" ht="15" hidden="false" customHeight="false" outlineLevel="0" collapsed="false">
      <c r="A36" s="0" t="s">
        <v>108</v>
      </c>
      <c r="B36" s="0" t="str">
        <f aca="false">_xlfn.XLOOKUP(A36,Item_Master!A:A,Item_Master!B:B)</f>
        <v>Anchor Exhaust Fan 8 inch</v>
      </c>
      <c r="C36" s="0" t="str">
        <f aca="false">_xlfn.XLOOKUP(A36,Item_Master!A:A,Item_Master!C:C)</f>
        <v>Electrical</v>
      </c>
      <c r="D36" s="0" t="n">
        <f aca="false">SUMIFS(Sales!D:D,Sales!C:C,A36)</f>
        <v>20</v>
      </c>
      <c r="E36" s="3" t="n">
        <f aca="false">_xlfn.XLOOKUP(A36,Item_Master!A:A,Item_Master!G:G)</f>
        <v>1480</v>
      </c>
      <c r="F36" s="3" t="n">
        <f aca="false">D36*E36</f>
        <v>29600</v>
      </c>
    </row>
    <row r="37" customFormat="false" ht="15" hidden="false" customHeight="false" outlineLevel="0" collapsed="false">
      <c r="A37" s="0" t="s">
        <v>110</v>
      </c>
      <c r="B37" s="0" t="str">
        <f aca="false">_xlfn.XLOOKUP(A37,Item_Master!A:A,Item_Master!B:B)</f>
        <v>Astral PVC Pipe 1 inch</v>
      </c>
      <c r="C37" s="0" t="str">
        <f aca="false">_xlfn.XLOOKUP(A37,Item_Master!A:A,Item_Master!C:C)</f>
        <v>Plumbing</v>
      </c>
      <c r="D37" s="0" t="n">
        <f aca="false">SUMIFS(Sales!D:D,Sales!C:C,A37)</f>
        <v>281</v>
      </c>
      <c r="E37" s="3" t="n">
        <f aca="false">_xlfn.XLOOKUP(A37,Item_Master!A:A,Item_Master!G:G)</f>
        <v>960</v>
      </c>
      <c r="F37" s="3" t="n">
        <f aca="false">D37*E37</f>
        <v>269760</v>
      </c>
    </row>
    <row r="38" customFormat="false" ht="15" hidden="false" customHeight="false" outlineLevel="0" collapsed="false">
      <c r="A38" s="0" t="s">
        <v>112</v>
      </c>
      <c r="B38" s="0" t="str">
        <f aca="false">_xlfn.XLOOKUP(A38,Item_Master!A:A,Item_Master!B:B)</f>
        <v>Havells Switch 2-way</v>
      </c>
      <c r="C38" s="0" t="str">
        <f aca="false">_xlfn.XLOOKUP(A38,Item_Master!A:A,Item_Master!C:C)</f>
        <v>Electrical</v>
      </c>
      <c r="D38" s="0" t="n">
        <f aca="false">SUMIFS(Sales!D:D,Sales!C:C,A38)</f>
        <v>55</v>
      </c>
      <c r="E38" s="3" t="n">
        <f aca="false">_xlfn.XLOOKUP(A38,Item_Master!A:A,Item_Master!G:G)</f>
        <v>2300</v>
      </c>
      <c r="F38" s="3" t="n">
        <f aca="false">D38*E38</f>
        <v>126500</v>
      </c>
    </row>
    <row r="39" customFormat="false" ht="15" hidden="false" customHeight="false" outlineLevel="0" collapsed="false">
      <c r="A39" s="0" t="s">
        <v>114</v>
      </c>
      <c r="B39" s="0" t="str">
        <f aca="false">_xlfn.XLOOKUP(A39,Item_Master!A:A,Item_Master!B:B)</f>
        <v>Godrej Drawer Slide 18 inch</v>
      </c>
      <c r="C39" s="0" t="str">
        <f aca="false">_xlfn.XLOOKUP(A39,Item_Master!A:A,Item_Master!C:C)</f>
        <v>Hardware</v>
      </c>
      <c r="D39" s="0" t="n">
        <f aca="false">SUMIFS(Sales!D:D,Sales!C:C,A39)</f>
        <v>292</v>
      </c>
      <c r="E39" s="3" t="n">
        <f aca="false">_xlfn.XLOOKUP(A39,Item_Master!A:A,Item_Master!G:G)</f>
        <v>590</v>
      </c>
      <c r="F39" s="3" t="n">
        <f aca="false">D39*E39</f>
        <v>172280</v>
      </c>
    </row>
    <row r="40" customFormat="false" ht="15" hidden="false" customHeight="false" outlineLevel="0" collapsed="false">
      <c r="A40" s="0" t="s">
        <v>117</v>
      </c>
      <c r="B40" s="0" t="str">
        <f aca="false">_xlfn.XLOOKUP(A40,Item_Master!A:A,Item_Master!B:B)</f>
        <v>GKW Self-tapping Screws No.8</v>
      </c>
      <c r="C40" s="0" t="str">
        <f aca="false">_xlfn.XLOOKUP(A40,Item_Master!A:A,Item_Master!C:C)</f>
        <v>Fasteners</v>
      </c>
      <c r="D40" s="0" t="n">
        <f aca="false">SUMIFS(Sales!D:D,Sales!C:C,A40)</f>
        <v>67</v>
      </c>
      <c r="E40" s="3" t="n">
        <f aca="false">_xlfn.XLOOKUP(A40,Item_Master!A:A,Item_Master!G:G)</f>
        <v>360</v>
      </c>
      <c r="F40" s="3" t="n">
        <f aca="false">D40*E40</f>
        <v>24120</v>
      </c>
    </row>
    <row r="41" customFormat="false" ht="15" hidden="false" customHeight="false" outlineLevel="0" collapsed="false">
      <c r="A41" s="0" t="s">
        <v>120</v>
      </c>
      <c r="B41" s="0" t="str">
        <f aca="false">_xlfn.XLOOKUP(A41,Item_Master!A:A,Item_Master!B:B)</f>
        <v>Apex Wall Plugs 8mm</v>
      </c>
      <c r="C41" s="0" t="str">
        <f aca="false">_xlfn.XLOOKUP(A41,Item_Master!A:A,Item_Master!C:C)</f>
        <v>Fasteners</v>
      </c>
      <c r="D41" s="0" t="n">
        <f aca="false">SUMIFS(Sales!D:D,Sales!C:C,A41)</f>
        <v>73</v>
      </c>
      <c r="E41" s="3" t="n">
        <f aca="false">_xlfn.XLOOKUP(A41,Item_Master!A:A,Item_Master!G:G)</f>
        <v>260</v>
      </c>
      <c r="F41" s="3" t="n">
        <f aca="false">D41*E41</f>
        <v>18980</v>
      </c>
    </row>
    <row r="42" customFormat="false" ht="15" hidden="false" customHeight="false" outlineLevel="0" collapsed="false">
      <c r="A42" s="0" t="s">
        <v>123</v>
      </c>
      <c r="B42" s="0" t="str">
        <f aca="false">_xlfn.XLOOKUP(A42,Item_Master!A:A,Item_Master!B:B)</f>
        <v>Stanley Hammer Drill Standard</v>
      </c>
      <c r="C42" s="0" t="str">
        <f aca="false">_xlfn.XLOOKUP(A42,Item_Master!A:A,Item_Master!C:C)</f>
        <v>Power Tools</v>
      </c>
      <c r="D42" s="0" t="n">
        <f aca="false">SUMIFS(Sales!D:D,Sales!C:C,A42)</f>
        <v>232</v>
      </c>
      <c r="E42" s="3" t="n">
        <f aca="false">_xlfn.XLOOKUP(A42,Item_Master!A:A,Item_Master!G:G)</f>
        <v>14710</v>
      </c>
      <c r="F42" s="3" t="n">
        <f aca="false">D42*E42</f>
        <v>3412720</v>
      </c>
    </row>
    <row r="43" customFormat="false" ht="15" hidden="false" customHeight="false" outlineLevel="0" collapsed="false">
      <c r="A43" s="0" t="s">
        <v>125</v>
      </c>
      <c r="B43" s="0" t="str">
        <f aca="false">_xlfn.XLOOKUP(A43,Item_Master!A:A,Item_Master!B:B)</f>
        <v>Anchor Ceiling Fan 48 inch</v>
      </c>
      <c r="C43" s="0" t="str">
        <f aca="false">_xlfn.XLOOKUP(A43,Item_Master!A:A,Item_Master!C:C)</f>
        <v>Electrical</v>
      </c>
      <c r="D43" s="0" t="n">
        <f aca="false">SUMIFS(Sales!D:D,Sales!C:C,A43)</f>
        <v>87</v>
      </c>
      <c r="E43" s="3" t="n">
        <f aca="false">_xlfn.XLOOKUP(A43,Item_Master!A:A,Item_Master!G:G)</f>
        <v>2240</v>
      </c>
      <c r="F43" s="3" t="n">
        <f aca="false">D43*E43</f>
        <v>194880</v>
      </c>
    </row>
    <row r="44" customFormat="false" ht="15" hidden="false" customHeight="false" outlineLevel="0" collapsed="false">
      <c r="A44" s="0" t="s">
        <v>127</v>
      </c>
      <c r="B44" s="0" t="str">
        <f aca="false">_xlfn.XLOOKUP(A44,Item_Master!A:A,Item_Master!B:B)</f>
        <v>Udyogi Safety Harness Full Body</v>
      </c>
      <c r="C44" s="0" t="str">
        <f aca="false">_xlfn.XLOOKUP(A44,Item_Master!A:A,Item_Master!C:C)</f>
        <v>Safety Gear</v>
      </c>
      <c r="D44" s="0" t="n">
        <f aca="false">SUMIFS(Sales!D:D,Sales!C:C,A44)</f>
        <v>33</v>
      </c>
      <c r="E44" s="3" t="n">
        <f aca="false">_xlfn.XLOOKUP(A44,Item_Master!A:A,Item_Master!G:G)</f>
        <v>2710</v>
      </c>
      <c r="F44" s="3" t="n">
        <f aca="false">D44*E44</f>
        <v>89430</v>
      </c>
    </row>
    <row r="45" customFormat="false" ht="15" hidden="false" customHeight="false" outlineLevel="0" collapsed="false">
      <c r="A45" s="0" t="s">
        <v>130</v>
      </c>
      <c r="B45" s="0" t="str">
        <f aca="false">_xlfn.XLOOKUP(A45,Item_Master!A:A,Item_Master!B:B)</f>
        <v>Black &amp; Decker Hammer Drill Standard</v>
      </c>
      <c r="C45" s="0" t="str">
        <f aca="false">_xlfn.XLOOKUP(A45,Item_Master!A:A,Item_Master!C:C)</f>
        <v>Power Tools</v>
      </c>
      <c r="D45" s="0" t="n">
        <f aca="false">SUMIFS(Sales!D:D,Sales!C:C,A45)</f>
        <v>22</v>
      </c>
      <c r="E45" s="3" t="n">
        <f aca="false">_xlfn.XLOOKUP(A45,Item_Master!A:A,Item_Master!G:G)</f>
        <v>17180</v>
      </c>
      <c r="F45" s="3" t="n">
        <f aca="false">D45*E45</f>
        <v>377960</v>
      </c>
    </row>
    <row r="46" customFormat="false" ht="15" hidden="false" customHeight="false" outlineLevel="0" collapsed="false">
      <c r="A46" s="0" t="s">
        <v>133</v>
      </c>
      <c r="B46" s="0" t="str">
        <f aca="false">_xlfn.XLOOKUP(A46,Item_Master!A:A,Item_Master!B:B)</f>
        <v>Legrand Switch 2-way</v>
      </c>
      <c r="C46" s="0" t="str">
        <f aca="false">_xlfn.XLOOKUP(A46,Item_Master!A:A,Item_Master!C:C)</f>
        <v>Electrical</v>
      </c>
      <c r="D46" s="0" t="n">
        <f aca="false">SUMIFS(Sales!D:D,Sales!C:C,A46)</f>
        <v>137</v>
      </c>
      <c r="E46" s="3" t="n">
        <f aca="false">_xlfn.XLOOKUP(A46,Item_Master!A:A,Item_Master!G:G)</f>
        <v>1240</v>
      </c>
      <c r="F46" s="3" t="n">
        <f aca="false">D46*E46</f>
        <v>169880</v>
      </c>
    </row>
    <row r="47" customFormat="false" ht="15" hidden="false" customHeight="false" outlineLevel="0" collapsed="false">
      <c r="A47" s="0" t="s">
        <v>136</v>
      </c>
      <c r="B47" s="0" t="str">
        <f aca="false">_xlfn.XLOOKUP(A47,Item_Master!A:A,Item_Master!B:B)</f>
        <v>Ashirvad Shower Head Standard</v>
      </c>
      <c r="C47" s="0" t="str">
        <f aca="false">_xlfn.XLOOKUP(A47,Item_Master!A:A,Item_Master!C:C)</f>
        <v>Plumbing</v>
      </c>
      <c r="D47" s="0" t="n">
        <f aca="false">SUMIFS(Sales!D:D,Sales!C:C,A47)</f>
        <v>157</v>
      </c>
      <c r="E47" s="3" t="n">
        <f aca="false">_xlfn.XLOOKUP(A47,Item_Master!A:A,Item_Master!G:G)</f>
        <v>1490</v>
      </c>
      <c r="F47" s="3" t="n">
        <f aca="false">D47*E47</f>
        <v>233930</v>
      </c>
    </row>
    <row r="48" customFormat="false" ht="15" hidden="false" customHeight="false" outlineLevel="0" collapsed="false">
      <c r="A48" s="0" t="s">
        <v>139</v>
      </c>
      <c r="B48" s="0" t="str">
        <f aca="false">_xlfn.XLOOKUP(A48,Item_Master!A:A,Item_Master!B:B)</f>
        <v>Bosch Circular Saw 10 inch</v>
      </c>
      <c r="C48" s="0" t="str">
        <f aca="false">_xlfn.XLOOKUP(A48,Item_Master!A:A,Item_Master!C:C)</f>
        <v>Power Tools</v>
      </c>
      <c r="D48" s="0" t="n">
        <f aca="false">SUMIFS(Sales!D:D,Sales!C:C,A48)</f>
        <v>120</v>
      </c>
      <c r="E48" s="3" t="n">
        <f aca="false">_xlfn.XLOOKUP(A48,Item_Master!A:A,Item_Master!G:G)</f>
        <v>20320</v>
      </c>
      <c r="F48" s="3" t="n">
        <f aca="false">D48*E48</f>
        <v>2438400</v>
      </c>
    </row>
    <row r="49" customFormat="false" ht="15" hidden="false" customHeight="false" outlineLevel="0" collapsed="false">
      <c r="A49" s="0" t="s">
        <v>142</v>
      </c>
      <c r="B49" s="0" t="str">
        <f aca="false">_xlfn.XLOOKUP(A49,Item_Master!A:A,Item_Master!B:B)</f>
        <v>Europa Door Hinge 3 inch</v>
      </c>
      <c r="C49" s="0" t="str">
        <f aca="false">_xlfn.XLOOKUP(A49,Item_Master!A:A,Item_Master!C:C)</f>
        <v>Hardware</v>
      </c>
      <c r="D49" s="0" t="n">
        <f aca="false">SUMIFS(Sales!D:D,Sales!C:C,A49)</f>
        <v>152</v>
      </c>
      <c r="E49" s="3" t="n">
        <f aca="false">_xlfn.XLOOKUP(A49,Item_Master!A:A,Item_Master!G:G)</f>
        <v>1380</v>
      </c>
      <c r="F49" s="3" t="n">
        <f aca="false">D49*E49</f>
        <v>209760</v>
      </c>
    </row>
    <row r="50" customFormat="false" ht="15" hidden="false" customHeight="false" outlineLevel="0" collapsed="false">
      <c r="A50" s="0" t="s">
        <v>144</v>
      </c>
      <c r="B50" s="0" t="str">
        <f aca="false">_xlfn.XLOOKUP(A50,Item_Master!A:A,Item_Master!B:B)</f>
        <v>Ashirvad CPVC Pipe 3/4 inch</v>
      </c>
      <c r="C50" s="0" t="str">
        <f aca="false">_xlfn.XLOOKUP(A50,Item_Master!A:A,Item_Master!C:C)</f>
        <v>Plumbing</v>
      </c>
      <c r="D50" s="0" t="n">
        <f aca="false">SUMIFS(Sales!D:D,Sales!C:C,A50)</f>
        <v>40</v>
      </c>
      <c r="E50" s="3" t="n">
        <f aca="false">_xlfn.XLOOKUP(A50,Item_Master!A:A,Item_Master!G:G)</f>
        <v>930</v>
      </c>
      <c r="F50" s="3" t="n">
        <f aca="false">D50*E50</f>
        <v>37200</v>
      </c>
    </row>
    <row r="51" customFormat="false" ht="15" hidden="false" customHeight="false" outlineLevel="0" collapsed="false">
      <c r="A51" s="0" t="s">
        <v>146</v>
      </c>
      <c r="B51" s="0" t="str">
        <f aca="false">_xlfn.XLOOKUP(A51,Item_Master!A:A,Item_Master!B:B)</f>
        <v>Dulux Wood Stain 1L</v>
      </c>
      <c r="C51" s="0" t="str">
        <f aca="false">_xlfn.XLOOKUP(A51,Item_Master!A:A,Item_Master!C:C)</f>
        <v>Paints &amp; Coatings</v>
      </c>
      <c r="D51" s="0" t="n">
        <f aca="false">SUMIFS(Sales!D:D,Sales!C:C,A51)</f>
        <v>126</v>
      </c>
      <c r="E51" s="3" t="n">
        <f aca="false">_xlfn.XLOOKUP(A51,Item_Master!A:A,Item_Master!G:G)</f>
        <v>2760</v>
      </c>
      <c r="F51" s="3" t="n">
        <f aca="false">D51*E51</f>
        <v>347760</v>
      </c>
    </row>
    <row r="52" customFormat="false" ht="15" hidden="false" customHeight="false" outlineLevel="0" collapsed="false">
      <c r="A52" s="0" t="s">
        <v>148</v>
      </c>
      <c r="B52" s="0" t="str">
        <f aca="false">_xlfn.XLOOKUP(A52,Item_Master!A:A,Item_Master!B:B)</f>
        <v>Araldite M-Seal 100g</v>
      </c>
      <c r="C52" s="0" t="str">
        <f aca="false">_xlfn.XLOOKUP(A52,Item_Master!A:A,Item_Master!C:C)</f>
        <v>Adhesives &amp; Sealants</v>
      </c>
      <c r="D52" s="0" t="n">
        <f aca="false">SUMIFS(Sales!D:D,Sales!C:C,A52)</f>
        <v>219</v>
      </c>
      <c r="E52" s="3" t="n">
        <f aca="false">_xlfn.XLOOKUP(A52,Item_Master!A:A,Item_Master!G:G)</f>
        <v>430</v>
      </c>
      <c r="F52" s="3" t="n">
        <f aca="false">D52*E52</f>
        <v>94170</v>
      </c>
    </row>
    <row r="53" customFormat="false" ht="15" hidden="false" customHeight="false" outlineLevel="0" collapsed="false">
      <c r="A53" s="0" t="s">
        <v>151</v>
      </c>
      <c r="B53" s="0" t="str">
        <f aca="false">_xlfn.XLOOKUP(A53,Item_Master!A:A,Item_Master!B:B)</f>
        <v>Falcon Garden Hose 10m</v>
      </c>
      <c r="C53" s="0" t="str">
        <f aca="false">_xlfn.XLOOKUP(A53,Item_Master!A:A,Item_Master!C:C)</f>
        <v>Garden Tools</v>
      </c>
      <c r="D53" s="0" t="n">
        <f aca="false">SUMIFS(Sales!D:D,Sales!C:C,A53)</f>
        <v>47</v>
      </c>
      <c r="E53" s="3" t="n">
        <f aca="false">_xlfn.XLOOKUP(A53,Item_Master!A:A,Item_Master!G:G)</f>
        <v>2560</v>
      </c>
      <c r="F53" s="3" t="n">
        <f aca="false">D53*E53</f>
        <v>120320</v>
      </c>
    </row>
    <row r="54" customFormat="false" ht="15" hidden="false" customHeight="false" outlineLevel="0" collapsed="false">
      <c r="A54" s="0" t="s">
        <v>154</v>
      </c>
      <c r="B54" s="0" t="str">
        <f aca="false">_xlfn.XLOOKUP(A54,Item_Master!A:A,Item_Master!B:B)</f>
        <v>GKW Nuts M10</v>
      </c>
      <c r="C54" s="0" t="str">
        <f aca="false">_xlfn.XLOOKUP(A54,Item_Master!A:A,Item_Master!C:C)</f>
        <v>Fasteners</v>
      </c>
      <c r="D54" s="0" t="n">
        <f aca="false">SUMIFS(Sales!D:D,Sales!C:C,A54)</f>
        <v>47</v>
      </c>
      <c r="E54" s="3" t="n">
        <f aca="false">_xlfn.XLOOKUP(A54,Item_Master!A:A,Item_Master!G:G)</f>
        <v>180</v>
      </c>
      <c r="F54" s="3" t="n">
        <f aca="false">D54*E54</f>
        <v>8460</v>
      </c>
    </row>
    <row r="55" customFormat="false" ht="15" hidden="false" customHeight="false" outlineLevel="0" collapsed="false">
      <c r="A55" s="0" t="s">
        <v>156</v>
      </c>
      <c r="B55" s="0" t="str">
        <f aca="false">_xlfn.XLOOKUP(A55,Item_Master!A:A,Item_Master!B:B)</f>
        <v>Trustbasket Rake Steel</v>
      </c>
      <c r="C55" s="0" t="str">
        <f aca="false">_xlfn.XLOOKUP(A55,Item_Master!A:A,Item_Master!C:C)</f>
        <v>Garden Tools</v>
      </c>
      <c r="D55" s="0" t="n">
        <f aca="false">SUMIFS(Sales!D:D,Sales!C:C,A55)</f>
        <v>317</v>
      </c>
      <c r="E55" s="3" t="n">
        <f aca="false">_xlfn.XLOOKUP(A55,Item_Master!A:A,Item_Master!G:G)</f>
        <v>3000</v>
      </c>
      <c r="F55" s="3" t="n">
        <f aca="false">D55*E55</f>
        <v>951000</v>
      </c>
    </row>
    <row r="56" customFormat="false" ht="15" hidden="false" customHeight="false" outlineLevel="0" collapsed="false">
      <c r="A56" s="0" t="s">
        <v>158</v>
      </c>
      <c r="B56" s="0" t="str">
        <f aca="false">_xlfn.XLOOKUP(A56,Item_Master!A:A,Item_Master!B:B)</f>
        <v>GKW Wood Screws 1.5 inch</v>
      </c>
      <c r="C56" s="0" t="str">
        <f aca="false">_xlfn.XLOOKUP(A56,Item_Master!A:A,Item_Master!C:C)</f>
        <v>Fasteners</v>
      </c>
      <c r="D56" s="0" t="n">
        <f aca="false">SUMIFS(Sales!D:D,Sales!C:C,A56)</f>
        <v>32</v>
      </c>
      <c r="E56" s="3" t="n">
        <f aca="false">_xlfn.XLOOKUP(A56,Item_Master!A:A,Item_Master!G:G)</f>
        <v>590</v>
      </c>
      <c r="F56" s="3" t="n">
        <f aca="false">D56*E56</f>
        <v>18880</v>
      </c>
    </row>
    <row r="57" customFormat="false" ht="15" hidden="false" customHeight="false" outlineLevel="0" collapsed="false">
      <c r="A57" s="0" t="s">
        <v>160</v>
      </c>
      <c r="B57" s="0" t="str">
        <f aca="false">_xlfn.XLOOKUP(A57,Item_Master!A:A,Item_Master!B:B)</f>
        <v>Fevicol Masking Tape 24mm</v>
      </c>
      <c r="C57" s="0" t="str">
        <f aca="false">_xlfn.XLOOKUP(A57,Item_Master!A:A,Item_Master!C:C)</f>
        <v>Adhesives &amp; Sealants</v>
      </c>
      <c r="D57" s="0" t="n">
        <f aca="false">SUMIFS(Sales!D:D,Sales!C:C,A57)</f>
        <v>228</v>
      </c>
      <c r="E57" s="3" t="n">
        <f aca="false">_xlfn.XLOOKUP(A57,Item_Master!A:A,Item_Master!G:G)</f>
        <v>770</v>
      </c>
      <c r="F57" s="3" t="n">
        <f aca="false">D57*E57</f>
        <v>175560</v>
      </c>
    </row>
    <row r="58" customFormat="false" ht="15" hidden="false" customHeight="false" outlineLevel="0" collapsed="false">
      <c r="A58" s="0" t="s">
        <v>163</v>
      </c>
      <c r="B58" s="0" t="str">
        <f aca="false">_xlfn.XLOOKUP(A58,Item_Master!A:A,Item_Master!B:B)</f>
        <v>Black &amp; Decker Reciprocating Saw Pro</v>
      </c>
      <c r="C58" s="0" t="str">
        <f aca="false">_xlfn.XLOOKUP(A58,Item_Master!A:A,Item_Master!C:C)</f>
        <v>Power Tools</v>
      </c>
      <c r="D58" s="0" t="n">
        <f aca="false">SUMIFS(Sales!D:D,Sales!C:C,A58)</f>
        <v>64</v>
      </c>
      <c r="E58" s="3" t="n">
        <f aca="false">_xlfn.XLOOKUP(A58,Item_Master!A:A,Item_Master!G:G)</f>
        <v>18730</v>
      </c>
      <c r="F58" s="3" t="n">
        <f aca="false">D58*E58</f>
        <v>1198720</v>
      </c>
    </row>
    <row r="59" customFormat="false" ht="15" hidden="false" customHeight="false" outlineLevel="0" collapsed="false">
      <c r="A59" s="0" t="s">
        <v>165</v>
      </c>
      <c r="B59" s="0" t="str">
        <f aca="false">_xlfn.XLOOKUP(A59,Item_Master!A:A,Item_Master!B:B)</f>
        <v>Supreme Shower Head Rainfall</v>
      </c>
      <c r="C59" s="0" t="str">
        <f aca="false">_xlfn.XLOOKUP(A59,Item_Master!A:A,Item_Master!C:C)</f>
        <v>Plumbing</v>
      </c>
      <c r="D59" s="0" t="n">
        <f aca="false">SUMIFS(Sales!D:D,Sales!C:C,A59)</f>
        <v>74</v>
      </c>
      <c r="E59" s="3" t="n">
        <f aca="false">_xlfn.XLOOKUP(A59,Item_Master!A:A,Item_Master!G:G)</f>
        <v>970</v>
      </c>
      <c r="F59" s="3" t="n">
        <f aca="false">D59*E59</f>
        <v>71780</v>
      </c>
    </row>
    <row r="60" customFormat="false" ht="15" hidden="false" customHeight="false" outlineLevel="0" collapsed="false">
      <c r="A60" s="0" t="s">
        <v>168</v>
      </c>
      <c r="B60" s="0" t="str">
        <f aca="false">_xlfn.XLOOKUP(A60,Item_Master!A:A,Item_Master!B:B)</f>
        <v>Anchor Self-tapping Screws No.10</v>
      </c>
      <c r="C60" s="0" t="str">
        <f aca="false">_xlfn.XLOOKUP(A60,Item_Master!A:A,Item_Master!C:C)</f>
        <v>Fasteners</v>
      </c>
      <c r="D60" s="0" t="n">
        <f aca="false">SUMIFS(Sales!D:D,Sales!C:C,A60)</f>
        <v>60</v>
      </c>
      <c r="E60" s="3" t="n">
        <f aca="false">_xlfn.XLOOKUP(A60,Item_Master!A:A,Item_Master!G:G)</f>
        <v>250</v>
      </c>
      <c r="F60" s="3" t="n">
        <f aca="false">D60*E60</f>
        <v>15000</v>
      </c>
    </row>
    <row r="61" customFormat="false" ht="15" hidden="false" customHeight="false" outlineLevel="0" collapsed="false">
      <c r="A61" s="0" t="s">
        <v>169</v>
      </c>
      <c r="B61" s="0" t="str">
        <f aca="false">_xlfn.XLOOKUP(A61,Item_Master!A:A,Item_Master!B:B)</f>
        <v>Dulux Enamel Paint 4L</v>
      </c>
      <c r="C61" s="0" t="str">
        <f aca="false">_xlfn.XLOOKUP(A61,Item_Master!A:A,Item_Master!C:C)</f>
        <v>Paints &amp; Coatings</v>
      </c>
      <c r="D61" s="0" t="n">
        <f aca="false">SUMIFS(Sales!D:D,Sales!C:C,A61)</f>
        <v>91</v>
      </c>
      <c r="E61" s="3" t="n">
        <f aca="false">_xlfn.XLOOKUP(A61,Item_Master!A:A,Item_Master!G:G)</f>
        <v>4120</v>
      </c>
      <c r="F61" s="3" t="n">
        <f aca="false">D61*E61</f>
        <v>374920</v>
      </c>
    </row>
    <row r="62" customFormat="false" ht="15" hidden="false" customHeight="false" outlineLevel="0" collapsed="false">
      <c r="A62" s="0" t="s">
        <v>170</v>
      </c>
      <c r="B62" s="0" t="str">
        <f aca="false">_xlfn.XLOOKUP(A62,Item_Master!A:A,Item_Master!B:B)</f>
        <v>Karam First Aid Kit Industrial</v>
      </c>
      <c r="C62" s="0" t="str">
        <f aca="false">_xlfn.XLOOKUP(A62,Item_Master!A:A,Item_Master!C:C)</f>
        <v>Safety Gear</v>
      </c>
      <c r="D62" s="0" t="n">
        <f aca="false">SUMIFS(Sales!D:D,Sales!C:C,A62)</f>
        <v>32</v>
      </c>
      <c r="E62" s="3" t="n">
        <f aca="false">_xlfn.XLOOKUP(A62,Item_Master!A:A,Item_Master!G:G)</f>
        <v>370</v>
      </c>
      <c r="F62" s="3" t="n">
        <f aca="false">D62*E62</f>
        <v>11840</v>
      </c>
    </row>
    <row r="63" customFormat="false" ht="15" hidden="false" customHeight="false" outlineLevel="0" collapsed="false">
      <c r="A63" s="0" t="s">
        <v>172</v>
      </c>
      <c r="B63" s="0" t="str">
        <f aca="false">_xlfn.XLOOKUP(A63,Item_Master!A:A,Item_Master!B:B)</f>
        <v>Legrand MCB 32A</v>
      </c>
      <c r="C63" s="0" t="str">
        <f aca="false">_xlfn.XLOOKUP(A63,Item_Master!A:A,Item_Master!C:C)</f>
        <v>Electrical</v>
      </c>
      <c r="D63" s="0" t="n">
        <f aca="false">SUMIFS(Sales!D:D,Sales!C:C,A63)</f>
        <v>128</v>
      </c>
      <c r="E63" s="3" t="n">
        <f aca="false">_xlfn.XLOOKUP(A63,Item_Master!A:A,Item_Master!G:G)</f>
        <v>3300</v>
      </c>
      <c r="F63" s="3" t="n">
        <f aca="false">D63*E63</f>
        <v>422400</v>
      </c>
    </row>
    <row r="64" customFormat="false" ht="15" hidden="false" customHeight="false" outlineLevel="0" collapsed="false">
      <c r="A64" s="0" t="s">
        <v>174</v>
      </c>
      <c r="B64" s="0" t="str">
        <f aca="false">_xlfn.XLOOKUP(A64,Item_Master!A:A,Item_Master!B:B)</f>
        <v>Apex Washers M10</v>
      </c>
      <c r="C64" s="0" t="str">
        <f aca="false">_xlfn.XLOOKUP(A64,Item_Master!A:A,Item_Master!C:C)</f>
        <v>Fasteners</v>
      </c>
      <c r="D64" s="0" t="n">
        <f aca="false">SUMIFS(Sales!D:D,Sales!C:C,A64)</f>
        <v>68</v>
      </c>
      <c r="E64" s="3" t="n">
        <f aca="false">_xlfn.XLOOKUP(A64,Item_Master!A:A,Item_Master!G:G)</f>
        <v>480</v>
      </c>
      <c r="F64" s="3" t="n">
        <f aca="false">D64*E64</f>
        <v>32640</v>
      </c>
    </row>
    <row r="65" customFormat="false" ht="15" hidden="false" customHeight="false" outlineLevel="0" collapsed="false">
      <c r="A65" s="0" t="s">
        <v>176</v>
      </c>
      <c r="B65" s="0" t="str">
        <f aca="false">_xlfn.XLOOKUP(A65,Item_Master!A:A,Item_Master!B:B)</f>
        <v>DeWalt Jig Saw Standard</v>
      </c>
      <c r="C65" s="0" t="str">
        <f aca="false">_xlfn.XLOOKUP(A65,Item_Master!A:A,Item_Master!C:C)</f>
        <v>Power Tools</v>
      </c>
      <c r="D65" s="0" t="n">
        <f aca="false">SUMIFS(Sales!D:D,Sales!C:C,A65)</f>
        <v>20</v>
      </c>
      <c r="E65" s="3" t="n">
        <f aca="false">_xlfn.XLOOKUP(A65,Item_Master!A:A,Item_Master!G:G)</f>
        <v>17600</v>
      </c>
      <c r="F65" s="3" t="n">
        <f aca="false">D65*E65</f>
        <v>352000</v>
      </c>
    </row>
    <row r="66" customFormat="false" ht="15" hidden="false" customHeight="false" outlineLevel="0" collapsed="false">
      <c r="A66" s="0" t="s">
        <v>178</v>
      </c>
      <c r="B66" s="0" t="str">
        <f aca="false">_xlfn.XLOOKUP(A66,Item_Master!A:A,Item_Master!B:B)</f>
        <v>Bosi Adjustable Wrench 12 inch</v>
      </c>
      <c r="C66" s="0" t="str">
        <f aca="false">_xlfn.XLOOKUP(A66,Item_Master!A:A,Item_Master!C:C)</f>
        <v>Hand Tools</v>
      </c>
      <c r="D66" s="0" t="n">
        <f aca="false">SUMIFS(Sales!D:D,Sales!C:C,A66)</f>
        <v>114</v>
      </c>
      <c r="E66" s="3" t="n">
        <f aca="false">_xlfn.XLOOKUP(A66,Item_Master!A:A,Item_Master!G:G)</f>
        <v>1310</v>
      </c>
      <c r="F66" s="3" t="n">
        <f aca="false">D66*E66</f>
        <v>149340</v>
      </c>
    </row>
    <row r="67" customFormat="false" ht="15" hidden="false" customHeight="false" outlineLevel="0" collapsed="false">
      <c r="A67" s="0" t="s">
        <v>180</v>
      </c>
      <c r="B67" s="0" t="str">
        <f aca="false">_xlfn.XLOOKUP(A67,Item_Master!A:A,Item_Master!B:B)</f>
        <v>Makita Heat Gun 1500W</v>
      </c>
      <c r="C67" s="0" t="str">
        <f aca="false">_xlfn.XLOOKUP(A67,Item_Master!A:A,Item_Master!C:C)</f>
        <v>Power Tools</v>
      </c>
      <c r="D67" s="0" t="n">
        <f aca="false">SUMIFS(Sales!D:D,Sales!C:C,A67)</f>
        <v>16</v>
      </c>
      <c r="E67" s="3" t="n">
        <f aca="false">_xlfn.XLOOKUP(A67,Item_Master!A:A,Item_Master!G:G)</f>
        <v>9560</v>
      </c>
      <c r="F67" s="3" t="n">
        <f aca="false">D67*E67</f>
        <v>152960</v>
      </c>
    </row>
    <row r="68" customFormat="false" ht="15" hidden="false" customHeight="false" outlineLevel="0" collapsed="false">
      <c r="A68" s="0" t="s">
        <v>183</v>
      </c>
      <c r="B68" s="0" t="str">
        <f aca="false">_xlfn.XLOOKUP(A68,Item_Master!A:A,Item_Master!B:B)</f>
        <v>Taparia Spirit Level 24 inch</v>
      </c>
      <c r="C68" s="0" t="str">
        <f aca="false">_xlfn.XLOOKUP(A68,Item_Master!A:A,Item_Master!C:C)</f>
        <v>Hand Tools</v>
      </c>
      <c r="D68" s="0" t="n">
        <f aca="false">SUMIFS(Sales!D:D,Sales!C:C,A68)</f>
        <v>128</v>
      </c>
      <c r="E68" s="3" t="n">
        <f aca="false">_xlfn.XLOOKUP(A68,Item_Master!A:A,Item_Master!G:G)</f>
        <v>2160</v>
      </c>
      <c r="F68" s="3" t="n">
        <f aca="false">D68*E68</f>
        <v>276480</v>
      </c>
    </row>
    <row r="69" customFormat="false" ht="15" hidden="false" customHeight="false" outlineLevel="0" collapsed="false">
      <c r="A69" s="0" t="s">
        <v>185</v>
      </c>
      <c r="B69" s="0" t="str">
        <f aca="false">_xlfn.XLOOKUP(A69,Item_Master!A:A,Item_Master!B:B)</f>
        <v>Hettich Bracket Heavy</v>
      </c>
      <c r="C69" s="0" t="str">
        <f aca="false">_xlfn.XLOOKUP(A69,Item_Master!A:A,Item_Master!C:C)</f>
        <v>Hardware</v>
      </c>
      <c r="D69" s="0" t="n">
        <f aca="false">SUMIFS(Sales!D:D,Sales!C:C,A69)</f>
        <v>133</v>
      </c>
      <c r="E69" s="3" t="n">
        <f aca="false">_xlfn.XLOOKUP(A69,Item_Master!A:A,Item_Master!G:G)</f>
        <v>1890</v>
      </c>
      <c r="F69" s="3" t="n">
        <f aca="false">D69*E69</f>
        <v>251370</v>
      </c>
    </row>
    <row r="70" customFormat="false" ht="15" hidden="false" customHeight="false" outlineLevel="0" collapsed="false">
      <c r="A70" s="0" t="s">
        <v>187</v>
      </c>
      <c r="B70" s="0" t="str">
        <f aca="false">_xlfn.XLOOKUP(A70,Item_Master!A:A,Item_Master!B:B)</f>
        <v>GKW Machine Screws M4</v>
      </c>
      <c r="C70" s="0" t="str">
        <f aca="false">_xlfn.XLOOKUP(A70,Item_Master!A:A,Item_Master!C:C)</f>
        <v>Fasteners</v>
      </c>
      <c r="D70" s="0" t="n">
        <f aca="false">SUMIFS(Sales!D:D,Sales!C:C,A70)</f>
        <v>90</v>
      </c>
      <c r="E70" s="3" t="n">
        <f aca="false">_xlfn.XLOOKUP(A70,Item_Master!A:A,Item_Master!G:G)</f>
        <v>700</v>
      </c>
      <c r="F70" s="3" t="n">
        <f aca="false">D70*E70</f>
        <v>63000</v>
      </c>
    </row>
    <row r="71" customFormat="false" ht="15" hidden="false" customHeight="false" outlineLevel="0" collapsed="false">
      <c r="A71" s="0" t="s">
        <v>189</v>
      </c>
      <c r="B71" s="0" t="str">
        <f aca="false">_xlfn.XLOOKUP(A71,Item_Master!A:A,Item_Master!B:B)</f>
        <v>Bosi Pliers Combination</v>
      </c>
      <c r="C71" s="0" t="str">
        <f aca="false">_xlfn.XLOOKUP(A71,Item_Master!A:A,Item_Master!C:C)</f>
        <v>Hand Tools</v>
      </c>
      <c r="D71" s="0" t="n">
        <f aca="false">SUMIFS(Sales!D:D,Sales!C:C,A71)</f>
        <v>149</v>
      </c>
      <c r="E71" s="3" t="n">
        <f aca="false">_xlfn.XLOOKUP(A71,Item_Master!A:A,Item_Master!G:G)</f>
        <v>4820</v>
      </c>
      <c r="F71" s="3" t="n">
        <f aca="false">D71*E71</f>
        <v>718180</v>
      </c>
    </row>
    <row r="72" customFormat="false" ht="15" hidden="false" customHeight="false" outlineLevel="0" collapsed="false">
      <c r="A72" s="0" t="s">
        <v>191</v>
      </c>
      <c r="B72" s="0" t="str">
        <f aca="false">_xlfn.XLOOKUP(A72,Item_Master!A:A,Item_Master!B:B)</f>
        <v>Stanley Jig Saw Pro</v>
      </c>
      <c r="C72" s="0" t="str">
        <f aca="false">_xlfn.XLOOKUP(A72,Item_Master!A:A,Item_Master!C:C)</f>
        <v>Power Tools</v>
      </c>
      <c r="D72" s="0" t="n">
        <f aca="false">SUMIFS(Sales!D:D,Sales!C:C,A72)</f>
        <v>212</v>
      </c>
      <c r="E72" s="3" t="n">
        <f aca="false">_xlfn.XLOOKUP(A72,Item_Master!A:A,Item_Master!G:G)</f>
        <v>11480</v>
      </c>
      <c r="F72" s="3" t="n">
        <f aca="false">D72*E72</f>
        <v>2433760</v>
      </c>
    </row>
    <row r="73" customFormat="false" ht="15" hidden="false" customHeight="false" outlineLevel="0" collapsed="false">
      <c r="A73" s="0" t="s">
        <v>193</v>
      </c>
      <c r="B73" s="0" t="str">
        <f aca="false">_xlfn.XLOOKUP(A73,Item_Master!A:A,Item_Master!B:B)</f>
        <v>Crompton Cordless Drill 20V Pro</v>
      </c>
      <c r="C73" s="0" t="str">
        <f aca="false">_xlfn.XLOOKUP(A73,Item_Master!A:A,Item_Master!C:C)</f>
        <v>Power Tools</v>
      </c>
      <c r="D73" s="0" t="n">
        <f aca="false">SUMIFS(Sales!D:D,Sales!C:C,A73)</f>
        <v>154</v>
      </c>
      <c r="E73" s="3" t="n">
        <f aca="false">_xlfn.XLOOKUP(A73,Item_Master!A:A,Item_Master!G:G)</f>
        <v>19030</v>
      </c>
      <c r="F73" s="3" t="n">
        <f aca="false">D73*E73</f>
        <v>2930620</v>
      </c>
    </row>
    <row r="74" customFormat="false" ht="15" hidden="false" customHeight="false" outlineLevel="0" collapsed="false">
      <c r="A74" s="0" t="s">
        <v>195</v>
      </c>
      <c r="B74" s="0" t="str">
        <f aca="false">_xlfn.XLOOKUP(A74,Item_Master!A:A,Item_Master!B:B)</f>
        <v>Prince PVC Tee 1/2 inch</v>
      </c>
      <c r="C74" s="0" t="str">
        <f aca="false">_xlfn.XLOOKUP(A74,Item_Master!A:A,Item_Master!C:C)</f>
        <v>Plumbing</v>
      </c>
      <c r="D74" s="0" t="n">
        <f aca="false">SUMIFS(Sales!D:D,Sales!C:C,A74)</f>
        <v>51</v>
      </c>
      <c r="E74" s="3" t="n">
        <f aca="false">_xlfn.XLOOKUP(A74,Item_Master!A:A,Item_Master!G:G)</f>
        <v>1470</v>
      </c>
      <c r="F74" s="3" t="n">
        <f aca="false">D74*E74</f>
        <v>74970</v>
      </c>
    </row>
    <row r="75" customFormat="false" ht="15" hidden="false" customHeight="false" outlineLevel="0" collapsed="false">
      <c r="A75" s="0" t="s">
        <v>198</v>
      </c>
      <c r="B75" s="0" t="str">
        <f aca="false">_xlfn.XLOOKUP(A75,Item_Master!A:A,Item_Master!B:B)</f>
        <v>Crompton Hammer Drill Standard</v>
      </c>
      <c r="C75" s="0" t="str">
        <f aca="false">_xlfn.XLOOKUP(A75,Item_Master!A:A,Item_Master!C:C)</f>
        <v>Power Tools</v>
      </c>
      <c r="D75" s="0" t="n">
        <f aca="false">SUMIFS(Sales!D:D,Sales!C:C,A75)</f>
        <v>95</v>
      </c>
      <c r="E75" s="3" t="n">
        <f aca="false">_xlfn.XLOOKUP(A75,Item_Master!A:A,Item_Master!G:G)</f>
        <v>10490</v>
      </c>
      <c r="F75" s="3" t="n">
        <f aca="false">D75*E75</f>
        <v>996550</v>
      </c>
    </row>
    <row r="76" customFormat="false" ht="15" hidden="false" customHeight="false" outlineLevel="0" collapsed="false">
      <c r="A76" s="0" t="s">
        <v>200</v>
      </c>
      <c r="B76" s="0" t="str">
        <f aca="false">_xlfn.XLOOKUP(A76,Item_Master!A:A,Item_Master!B:B)</f>
        <v>Udyogi Dust Mask Reusable</v>
      </c>
      <c r="C76" s="0" t="str">
        <f aca="false">_xlfn.XLOOKUP(A76,Item_Master!A:A,Item_Master!C:C)</f>
        <v>Safety Gear</v>
      </c>
      <c r="D76" s="0" t="n">
        <f aca="false">SUMIFS(Sales!D:D,Sales!C:C,A76)</f>
        <v>267</v>
      </c>
      <c r="E76" s="3" t="n">
        <f aca="false">_xlfn.XLOOKUP(A76,Item_Master!A:A,Item_Master!G:G)</f>
        <v>1040</v>
      </c>
      <c r="F76" s="3" t="n">
        <f aca="false">D76*E76</f>
        <v>277680</v>
      </c>
    </row>
    <row r="77" customFormat="false" ht="15" hidden="false" customHeight="false" outlineLevel="0" collapsed="false">
      <c r="A77" s="0" t="s">
        <v>202</v>
      </c>
      <c r="B77" s="0" t="str">
        <f aca="false">_xlfn.XLOOKUP(A77,Item_Master!A:A,Item_Master!B:B)</f>
        <v>Araldite Epoxy Resin 500g</v>
      </c>
      <c r="C77" s="0" t="str">
        <f aca="false">_xlfn.XLOOKUP(A77,Item_Master!A:A,Item_Master!C:C)</f>
        <v>Adhesives &amp; Sealants</v>
      </c>
      <c r="D77" s="0" t="n">
        <f aca="false">SUMIFS(Sales!D:D,Sales!C:C,A77)</f>
        <v>84</v>
      </c>
      <c r="E77" s="3" t="n">
        <f aca="false">_xlfn.XLOOKUP(A77,Item_Master!A:A,Item_Master!G:G)</f>
        <v>1630</v>
      </c>
      <c r="F77" s="3" t="n">
        <f aca="false">D77*E77</f>
        <v>136920</v>
      </c>
    </row>
    <row r="78" customFormat="false" ht="15" hidden="false" customHeight="false" outlineLevel="0" collapsed="false">
      <c r="A78" s="0" t="s">
        <v>204</v>
      </c>
      <c r="B78" s="0" t="str">
        <f aca="false">_xlfn.XLOOKUP(A78,Item_Master!A:A,Item_Master!B:B)</f>
        <v>Asian Paints Wood Stain 1L</v>
      </c>
      <c r="C78" s="0" t="str">
        <f aca="false">_xlfn.XLOOKUP(A78,Item_Master!A:A,Item_Master!C:C)</f>
        <v>Paints &amp; Coatings</v>
      </c>
      <c r="D78" s="0" t="n">
        <f aca="false">SUMIFS(Sales!D:D,Sales!C:C,A78)</f>
        <v>131</v>
      </c>
      <c r="E78" s="3" t="n">
        <f aca="false">_xlfn.XLOOKUP(A78,Item_Master!A:A,Item_Master!G:G)</f>
        <v>1410</v>
      </c>
      <c r="F78" s="3" t="n">
        <f aca="false">D78*E78</f>
        <v>184710</v>
      </c>
    </row>
    <row r="79" customFormat="false" ht="15" hidden="false" customHeight="false" outlineLevel="0" collapsed="false">
      <c r="A79" s="0" t="s">
        <v>207</v>
      </c>
      <c r="B79" s="0" t="str">
        <f aca="false">_xlfn.XLOOKUP(A79,Item_Master!A:A,Item_Master!B:B)</f>
        <v>TVS Screwdriver Set 6 pc</v>
      </c>
      <c r="C79" s="0" t="str">
        <f aca="false">_xlfn.XLOOKUP(A79,Item_Master!A:A,Item_Master!C:C)</f>
        <v>Hand Tools</v>
      </c>
      <c r="D79" s="0" t="n">
        <f aca="false">SUMIFS(Sales!D:D,Sales!C:C,A79)</f>
        <v>113</v>
      </c>
      <c r="E79" s="3" t="n">
        <f aca="false">_xlfn.XLOOKUP(A79,Item_Master!A:A,Item_Master!G:G)</f>
        <v>2590</v>
      </c>
      <c r="F79" s="3" t="n">
        <f aca="false">D79*E79</f>
        <v>292670</v>
      </c>
    </row>
    <row r="80" customFormat="false" ht="15" hidden="false" customHeight="false" outlineLevel="0" collapsed="false">
      <c r="A80" s="0" t="s">
        <v>209</v>
      </c>
      <c r="B80" s="0" t="str">
        <f aca="false">_xlfn.XLOOKUP(A80,Item_Master!A:A,Item_Master!B:B)</f>
        <v>Birla Metal Primer 4L</v>
      </c>
      <c r="C80" s="0" t="str">
        <f aca="false">_xlfn.XLOOKUP(A80,Item_Master!A:A,Item_Master!C:C)</f>
        <v>Paints &amp; Coatings</v>
      </c>
      <c r="D80" s="0" t="n">
        <f aca="false">SUMIFS(Sales!D:D,Sales!C:C,A80)</f>
        <v>168</v>
      </c>
      <c r="E80" s="3" t="n">
        <f aca="false">_xlfn.XLOOKUP(A80,Item_Master!A:A,Item_Master!G:G)</f>
        <v>1090</v>
      </c>
      <c r="F80" s="3" t="n">
        <f aca="false">D80*E80</f>
        <v>183120</v>
      </c>
    </row>
    <row r="81" customFormat="false" ht="15" hidden="false" customHeight="false" outlineLevel="0" collapsed="false">
      <c r="A81" s="0" t="s">
        <v>212</v>
      </c>
      <c r="B81" s="0" t="str">
        <f aca="false">_xlfn.XLOOKUP(A81,Item_Master!A:A,Item_Master!B:B)</f>
        <v>Polycab LED Tube Light 22W</v>
      </c>
      <c r="C81" s="0" t="str">
        <f aca="false">_xlfn.XLOOKUP(A81,Item_Master!A:A,Item_Master!C:C)</f>
        <v>Electrical</v>
      </c>
      <c r="D81" s="0" t="n">
        <f aca="false">SUMIFS(Sales!D:D,Sales!C:C,A81)</f>
        <v>77</v>
      </c>
      <c r="E81" s="3" t="n">
        <f aca="false">_xlfn.XLOOKUP(A81,Item_Master!A:A,Item_Master!G:G)</f>
        <v>4260</v>
      </c>
      <c r="F81" s="3" t="n">
        <f aca="false">D81*E81</f>
        <v>328020</v>
      </c>
    </row>
    <row r="82" customFormat="false" ht="15" hidden="false" customHeight="false" outlineLevel="0" collapsed="false">
      <c r="A82" s="0" t="s">
        <v>215</v>
      </c>
      <c r="B82" s="0" t="str">
        <f aca="false">_xlfn.XLOOKUP(A82,Item_Master!A:A,Item_Master!B:B)</f>
        <v>Prince Shower Head Standard</v>
      </c>
      <c r="C82" s="0" t="str">
        <f aca="false">_xlfn.XLOOKUP(A82,Item_Master!A:A,Item_Master!C:C)</f>
        <v>Plumbing</v>
      </c>
      <c r="D82" s="0" t="n">
        <f aca="false">SUMIFS(Sales!D:D,Sales!C:C,A82)</f>
        <v>77</v>
      </c>
      <c r="E82" s="3" t="n">
        <f aca="false">_xlfn.XLOOKUP(A82,Item_Master!A:A,Item_Master!G:G)</f>
        <v>560</v>
      </c>
      <c r="F82" s="3" t="n">
        <f aca="false">D82*E82</f>
        <v>43120</v>
      </c>
    </row>
    <row r="83" customFormat="false" ht="15" hidden="false" customHeight="false" outlineLevel="0" collapsed="false">
      <c r="A83" s="0" t="s">
        <v>217</v>
      </c>
      <c r="B83" s="0" t="str">
        <f aca="false">_xlfn.XLOOKUP(A83,Item_Master!A:A,Item_Master!B:B)</f>
        <v>Bosi Spirit Level 12 inch</v>
      </c>
      <c r="C83" s="0" t="str">
        <f aca="false">_xlfn.XLOOKUP(A83,Item_Master!A:A,Item_Master!C:C)</f>
        <v>Hand Tools</v>
      </c>
      <c r="D83" s="0" t="n">
        <f aca="false">SUMIFS(Sales!D:D,Sales!C:C,A83)</f>
        <v>67</v>
      </c>
      <c r="E83" s="3" t="n">
        <f aca="false">_xlfn.XLOOKUP(A83,Item_Master!A:A,Item_Master!G:G)</f>
        <v>3430</v>
      </c>
      <c r="F83" s="3" t="n">
        <f aca="false">D83*E83</f>
        <v>229810</v>
      </c>
    </row>
    <row r="84" customFormat="false" ht="15" hidden="false" customHeight="false" outlineLevel="0" collapsed="false">
      <c r="A84" s="0" t="s">
        <v>219</v>
      </c>
      <c r="B84" s="0" t="str">
        <f aca="false">_xlfn.XLOOKUP(A84,Item_Master!A:A,Item_Master!B:B)</f>
        <v>Astral Bib Tap Standard</v>
      </c>
      <c r="C84" s="0" t="str">
        <f aca="false">_xlfn.XLOOKUP(A84,Item_Master!A:A,Item_Master!C:C)</f>
        <v>Plumbing</v>
      </c>
      <c r="D84" s="0" t="n">
        <f aca="false">SUMIFS(Sales!D:D,Sales!C:C,A84)</f>
        <v>97</v>
      </c>
      <c r="E84" s="3" t="n">
        <f aca="false">_xlfn.XLOOKUP(A84,Item_Master!A:A,Item_Master!G:G)</f>
        <v>1220</v>
      </c>
      <c r="F84" s="3" t="n">
        <f aca="false">D84*E84</f>
        <v>118340</v>
      </c>
    </row>
    <row r="85" customFormat="false" ht="15" hidden="false" customHeight="false" outlineLevel="0" collapsed="false">
      <c r="A85" s="0" t="s">
        <v>221</v>
      </c>
      <c r="B85" s="0" t="str">
        <f aca="false">_xlfn.XLOOKUP(A85,Item_Master!A:A,Item_Master!B:B)</f>
        <v>3M Dust Mask N95</v>
      </c>
      <c r="C85" s="0" t="str">
        <f aca="false">_xlfn.XLOOKUP(A85,Item_Master!A:A,Item_Master!C:C)</f>
        <v>Safety Gear</v>
      </c>
      <c r="D85" s="0" t="n">
        <f aca="false">SUMIFS(Sales!D:D,Sales!C:C,A85)</f>
        <v>163</v>
      </c>
      <c r="E85" s="3" t="n">
        <f aca="false">_xlfn.XLOOKUP(A85,Item_Master!A:A,Item_Master!G:G)</f>
        <v>1570</v>
      </c>
      <c r="F85" s="3" t="n">
        <f aca="false">D85*E85</f>
        <v>255910</v>
      </c>
    </row>
    <row r="86" customFormat="false" ht="15" hidden="false" customHeight="false" outlineLevel="0" collapsed="false">
      <c r="A86" s="0" t="s">
        <v>223</v>
      </c>
      <c r="B86" s="0" t="str">
        <f aca="false">_xlfn.XLOOKUP(A86,Item_Master!A:A,Item_Master!B:B)</f>
        <v>3M Silicone Sealant 280ml</v>
      </c>
      <c r="C86" s="0" t="str">
        <f aca="false">_xlfn.XLOOKUP(A86,Item_Master!A:A,Item_Master!C:C)</f>
        <v>Adhesives &amp; Sealants</v>
      </c>
      <c r="D86" s="0" t="n">
        <f aca="false">SUMIFS(Sales!D:D,Sales!C:C,A86)</f>
        <v>106</v>
      </c>
      <c r="E86" s="3" t="n">
        <f aca="false">_xlfn.XLOOKUP(A86,Item_Master!A:A,Item_Master!G:G)</f>
        <v>260</v>
      </c>
      <c r="F86" s="3" t="n">
        <f aca="false">D86*E86</f>
        <v>27560</v>
      </c>
    </row>
    <row r="87" customFormat="false" ht="15" hidden="false" customHeight="false" outlineLevel="0" collapsed="false">
      <c r="A87" s="0" t="s">
        <v>225</v>
      </c>
      <c r="B87" s="0" t="str">
        <f aca="false">_xlfn.XLOOKUP(A87,Item_Master!A:A,Item_Master!B:B)</f>
        <v>GKW Iron Nails 1 inch</v>
      </c>
      <c r="C87" s="0" t="str">
        <f aca="false">_xlfn.XLOOKUP(A87,Item_Master!A:A,Item_Master!C:C)</f>
        <v>Fasteners</v>
      </c>
      <c r="D87" s="0" t="n">
        <f aca="false">SUMIFS(Sales!D:D,Sales!C:C,A87)</f>
        <v>91</v>
      </c>
      <c r="E87" s="3" t="n">
        <f aca="false">_xlfn.XLOOKUP(A87,Item_Master!A:A,Item_Master!G:G)</f>
        <v>400</v>
      </c>
      <c r="F87" s="3" t="n">
        <f aca="false">D87*E87</f>
        <v>36400</v>
      </c>
    </row>
    <row r="88" customFormat="false" ht="15" hidden="false" customHeight="false" outlineLevel="0" collapsed="false">
      <c r="A88" s="0" t="s">
        <v>227</v>
      </c>
      <c r="B88" s="0" t="str">
        <f aca="false">_xlfn.XLOOKUP(A88,Item_Master!A:A,Item_Master!B:B)</f>
        <v>Bosch Jig Saw Standard</v>
      </c>
      <c r="C88" s="0" t="str">
        <f aca="false">_xlfn.XLOOKUP(A88,Item_Master!A:A,Item_Master!C:C)</f>
        <v>Power Tools</v>
      </c>
      <c r="D88" s="0" t="n">
        <f aca="false">SUMIFS(Sales!D:D,Sales!C:C,A88)</f>
        <v>68</v>
      </c>
      <c r="E88" s="3" t="n">
        <f aca="false">_xlfn.XLOOKUP(A88,Item_Master!A:A,Item_Master!G:G)</f>
        <v>26680</v>
      </c>
      <c r="F88" s="3" t="n">
        <f aca="false">D88*E88</f>
        <v>1814240</v>
      </c>
    </row>
    <row r="89" customFormat="false" ht="15" hidden="false" customHeight="false" outlineLevel="0" collapsed="false">
      <c r="A89" s="0" t="s">
        <v>229</v>
      </c>
      <c r="B89" s="0" t="str">
        <f aca="false">_xlfn.XLOOKUP(A89,Item_Master!A:A,Item_Master!B:B)</f>
        <v>Berger Interior Emulsion 4L</v>
      </c>
      <c r="C89" s="0" t="str">
        <f aca="false">_xlfn.XLOOKUP(A89,Item_Master!A:A,Item_Master!C:C)</f>
        <v>Paints &amp; Coatings</v>
      </c>
      <c r="D89" s="0" t="n">
        <f aca="false">SUMIFS(Sales!D:D,Sales!C:C,A89)</f>
        <v>6</v>
      </c>
      <c r="E89" s="3" t="n">
        <f aca="false">_xlfn.XLOOKUP(A89,Item_Master!A:A,Item_Master!G:G)</f>
        <v>3160</v>
      </c>
      <c r="F89" s="3" t="n">
        <f aca="false">D89*E89</f>
        <v>18960</v>
      </c>
    </row>
    <row r="90" customFormat="false" ht="15" hidden="false" customHeight="false" outlineLevel="0" collapsed="false">
      <c r="A90" s="0" t="s">
        <v>232</v>
      </c>
      <c r="B90" s="0" t="str">
        <f aca="false">_xlfn.XLOOKUP(A90,Item_Master!A:A,Item_Master!B:B)</f>
        <v>Plaza PVC Conduit 20mm</v>
      </c>
      <c r="C90" s="0" t="str">
        <f aca="false">_xlfn.XLOOKUP(A90,Item_Master!A:A,Item_Master!C:C)</f>
        <v>Electrical</v>
      </c>
      <c r="D90" s="0" t="n">
        <f aca="false">SUMIFS(Sales!D:D,Sales!C:C,A90)</f>
        <v>99</v>
      </c>
      <c r="E90" s="3" t="n">
        <f aca="false">_xlfn.XLOOKUP(A90,Item_Master!A:A,Item_Master!G:G)</f>
        <v>3420</v>
      </c>
      <c r="F90" s="3" t="n">
        <f aca="false">D90*E90</f>
        <v>338580</v>
      </c>
    </row>
    <row r="91" customFormat="false" ht="15" hidden="false" customHeight="false" outlineLevel="0" collapsed="false">
      <c r="A91" s="0" t="s">
        <v>235</v>
      </c>
      <c r="B91" s="0" t="str">
        <f aca="false">_xlfn.XLOOKUP(A91,Item_Master!A:A,Item_Master!B:B)</f>
        <v>Hafele Door Eye Standard</v>
      </c>
      <c r="C91" s="0" t="str">
        <f aca="false">_xlfn.XLOOKUP(A91,Item_Master!A:A,Item_Master!C:C)</f>
        <v>Hardware</v>
      </c>
      <c r="D91" s="0" t="n">
        <f aca="false">SUMIFS(Sales!D:D,Sales!C:C,A91)</f>
        <v>114</v>
      </c>
      <c r="E91" s="3" t="n">
        <f aca="false">_xlfn.XLOOKUP(A91,Item_Master!A:A,Item_Master!G:G)</f>
        <v>2400</v>
      </c>
      <c r="F91" s="3" t="n">
        <f aca="false">D91*E91</f>
        <v>273600</v>
      </c>
    </row>
    <row r="92" customFormat="false" ht="15" hidden="false" customHeight="false" outlineLevel="0" collapsed="false">
      <c r="A92" s="0" t="s">
        <v>237</v>
      </c>
      <c r="B92" s="0" t="str">
        <f aca="false">_xlfn.XLOOKUP(A92,Item_Master!A:A,Item_Master!B:B)</f>
        <v>Visko Spanner Set 8 pc</v>
      </c>
      <c r="C92" s="0" t="str">
        <f aca="false">_xlfn.XLOOKUP(A92,Item_Master!A:A,Item_Master!C:C)</f>
        <v>Hand Tools</v>
      </c>
      <c r="D92" s="0" t="n">
        <f aca="false">SUMIFS(Sales!D:D,Sales!C:C,A92)</f>
        <v>85</v>
      </c>
      <c r="E92" s="3" t="n">
        <f aca="false">_xlfn.XLOOKUP(A92,Item_Master!A:A,Item_Master!G:G)</f>
        <v>720</v>
      </c>
      <c r="F92" s="3" t="n">
        <f aca="false">D92*E92</f>
        <v>61200</v>
      </c>
    </row>
    <row r="93" customFormat="false" ht="15" hidden="false" customHeight="false" outlineLevel="0" collapsed="false">
      <c r="A93" s="0" t="s">
        <v>239</v>
      </c>
      <c r="B93" s="0" t="str">
        <f aca="false">_xlfn.XLOOKUP(A93,Item_Master!A:A,Item_Master!B:B)</f>
        <v>Crompton LED Tube Light 18W</v>
      </c>
      <c r="C93" s="0" t="str">
        <f aca="false">_xlfn.XLOOKUP(A93,Item_Master!A:A,Item_Master!C:C)</f>
        <v>Electrical</v>
      </c>
      <c r="D93" s="0" t="n">
        <f aca="false">SUMIFS(Sales!D:D,Sales!C:C,A93)</f>
        <v>92</v>
      </c>
      <c r="E93" s="3" t="n">
        <f aca="false">_xlfn.XLOOKUP(A93,Item_Master!A:A,Item_Master!G:G)</f>
        <v>1750</v>
      </c>
      <c r="F93" s="3" t="n">
        <f aca="false">D93*E93</f>
        <v>161000</v>
      </c>
    </row>
    <row r="94" customFormat="false" ht="15" hidden="false" customHeight="false" outlineLevel="0" collapsed="false">
      <c r="A94" s="0" t="s">
        <v>241</v>
      </c>
      <c r="B94" s="0" t="str">
        <f aca="false">_xlfn.XLOOKUP(A94,Item_Master!A:A,Item_Master!B:B)</f>
        <v>Finolex Bib Tap Standard</v>
      </c>
      <c r="C94" s="0" t="str">
        <f aca="false">_xlfn.XLOOKUP(A94,Item_Master!A:A,Item_Master!C:C)</f>
        <v>Plumbing</v>
      </c>
      <c r="D94" s="0" t="n">
        <f aca="false">SUMIFS(Sales!D:D,Sales!C:C,A94)</f>
        <v>24</v>
      </c>
      <c r="E94" s="3" t="n">
        <f aca="false">_xlfn.XLOOKUP(A94,Item_Master!A:A,Item_Master!G:G)</f>
        <v>2720</v>
      </c>
      <c r="F94" s="3" t="n">
        <f aca="false">D94*E94</f>
        <v>65280</v>
      </c>
    </row>
    <row r="95" customFormat="false" ht="15" hidden="false" customHeight="false" outlineLevel="0" collapsed="false">
      <c r="A95" s="0" t="s">
        <v>243</v>
      </c>
      <c r="B95" s="0" t="str">
        <f aca="false">_xlfn.XLOOKUP(A95,Item_Master!A:A,Item_Master!B:B)</f>
        <v>Astral Towel Rod 18 inch</v>
      </c>
      <c r="C95" s="0" t="str">
        <f aca="false">_xlfn.XLOOKUP(A95,Item_Master!A:A,Item_Master!C:C)</f>
        <v>Plumbing</v>
      </c>
      <c r="D95" s="0" t="n">
        <f aca="false">SUMIFS(Sales!D:D,Sales!C:C,A95)</f>
        <v>111</v>
      </c>
      <c r="E95" s="3" t="n">
        <f aca="false">_xlfn.XLOOKUP(A95,Item_Master!A:A,Item_Master!G:G)</f>
        <v>1170</v>
      </c>
      <c r="F95" s="3" t="n">
        <f aca="false">D95*E95</f>
        <v>129870</v>
      </c>
    </row>
    <row r="96" customFormat="false" ht="15" hidden="false" customHeight="false" outlineLevel="0" collapsed="false">
      <c r="A96" s="0" t="s">
        <v>245</v>
      </c>
      <c r="B96" s="0" t="str">
        <f aca="false">_xlfn.XLOOKUP(A96,Item_Master!A:A,Item_Master!B:B)</f>
        <v>Finolex LED Tube Light 22W</v>
      </c>
      <c r="C96" s="0" t="str">
        <f aca="false">_xlfn.XLOOKUP(A96,Item_Master!A:A,Item_Master!C:C)</f>
        <v>Electrical</v>
      </c>
      <c r="D96" s="0" t="n">
        <f aca="false">SUMIFS(Sales!D:D,Sales!C:C,A96)</f>
        <v>131</v>
      </c>
      <c r="E96" s="3" t="n">
        <f aca="false">_xlfn.XLOOKUP(A96,Item_Master!A:A,Item_Master!G:G)</f>
        <v>2280</v>
      </c>
      <c r="F96" s="3" t="n">
        <f aca="false">D96*E96</f>
        <v>298680</v>
      </c>
    </row>
    <row r="97" customFormat="false" ht="15" hidden="false" customHeight="false" outlineLevel="0" collapsed="false">
      <c r="A97" s="0" t="s">
        <v>247</v>
      </c>
      <c r="B97" s="0" t="str">
        <f aca="false">_xlfn.XLOOKUP(A97,Item_Master!A:A,Item_Master!B:B)</f>
        <v>Asian Paints Exterior Emulsion 1L</v>
      </c>
      <c r="C97" s="0" t="str">
        <f aca="false">_xlfn.XLOOKUP(A97,Item_Master!A:A,Item_Master!C:C)</f>
        <v>Paints &amp; Coatings</v>
      </c>
      <c r="D97" s="0" t="n">
        <f aca="false">SUMIFS(Sales!D:D,Sales!C:C,A97)</f>
        <v>104</v>
      </c>
      <c r="E97" s="3" t="n">
        <f aca="false">_xlfn.XLOOKUP(A97,Item_Master!A:A,Item_Master!G:G)</f>
        <v>1000</v>
      </c>
      <c r="F97" s="3" t="n">
        <f aca="false">D97*E97</f>
        <v>104000</v>
      </c>
    </row>
    <row r="98" customFormat="false" ht="15" hidden="false" customHeight="false" outlineLevel="0" collapsed="false">
      <c r="A98" s="0" t="s">
        <v>249</v>
      </c>
      <c r="B98" s="0" t="str">
        <f aca="false">_xlfn.XLOOKUP(A98,Item_Master!A:A,Item_Master!B:B)</f>
        <v>Asian Paints Wood Varnish 1L</v>
      </c>
      <c r="C98" s="0" t="str">
        <f aca="false">_xlfn.XLOOKUP(A98,Item_Master!A:A,Item_Master!C:C)</f>
        <v>Paints &amp; Coatings</v>
      </c>
      <c r="D98" s="0" t="n">
        <f aca="false">SUMIFS(Sales!D:D,Sales!C:C,A98)</f>
        <v>53</v>
      </c>
      <c r="E98" s="3" t="n">
        <f aca="false">_xlfn.XLOOKUP(A98,Item_Master!A:A,Item_Master!G:G)</f>
        <v>2800</v>
      </c>
      <c r="F98" s="3" t="n">
        <f aca="false">D98*E98</f>
        <v>148400</v>
      </c>
    </row>
    <row r="99" customFormat="false" ht="15" hidden="false" customHeight="false" outlineLevel="0" collapsed="false">
      <c r="A99" s="0" t="s">
        <v>251</v>
      </c>
      <c r="B99" s="0" t="str">
        <f aca="false">_xlfn.XLOOKUP(A99,Item_Master!A:A,Item_Master!B:B)</f>
        <v>Apex Nuts M8</v>
      </c>
      <c r="C99" s="0" t="str">
        <f aca="false">_xlfn.XLOOKUP(A99,Item_Master!A:A,Item_Master!C:C)</f>
        <v>Fasteners</v>
      </c>
      <c r="D99" s="0" t="n">
        <f aca="false">SUMIFS(Sales!D:D,Sales!C:C,A99)</f>
        <v>16</v>
      </c>
      <c r="E99" s="3" t="n">
        <f aca="false">_xlfn.XLOOKUP(A99,Item_Master!A:A,Item_Master!G:G)</f>
        <v>170</v>
      </c>
      <c r="F99" s="3" t="n">
        <f aca="false">D99*E99</f>
        <v>2720</v>
      </c>
    </row>
    <row r="100" customFormat="false" ht="15" hidden="false" customHeight="false" outlineLevel="0" collapsed="false">
      <c r="A100" s="0" t="s">
        <v>253</v>
      </c>
      <c r="B100" s="0" t="str">
        <f aca="false">_xlfn.XLOOKUP(A100,Item_Master!A:A,Item_Master!B:B)</f>
        <v>Philips MCB 6A</v>
      </c>
      <c r="C100" s="0" t="str">
        <f aca="false">_xlfn.XLOOKUP(A100,Item_Master!A:A,Item_Master!C:C)</f>
        <v>Electrical</v>
      </c>
      <c r="D100" s="0" t="n">
        <f aca="false">SUMIFS(Sales!D:D,Sales!C:C,A100)</f>
        <v>30</v>
      </c>
      <c r="E100" s="3" t="n">
        <f aca="false">_xlfn.XLOOKUP(A100,Item_Master!A:A,Item_Master!G:G)</f>
        <v>3590</v>
      </c>
      <c r="F100" s="3" t="n">
        <f aca="false">D100*E100</f>
        <v>107700</v>
      </c>
    </row>
    <row r="101" customFormat="false" ht="15" hidden="false" customHeight="false" outlineLevel="0" collapsed="false">
      <c r="A101" s="0" t="s">
        <v>255</v>
      </c>
      <c r="B101" s="0" t="str">
        <f aca="false">_xlfn.XLOOKUP(A101,Item_Master!A:A,Item_Master!B:B)</f>
        <v>Stanley Rotary Hammer SDS Plus</v>
      </c>
      <c r="C101" s="0" t="str">
        <f aca="false">_xlfn.XLOOKUP(A101,Item_Master!A:A,Item_Master!C:C)</f>
        <v>Power Tools</v>
      </c>
      <c r="D101" s="0" t="n">
        <f aca="false">SUMIFS(Sales!D:D,Sales!C:C,A101)</f>
        <v>65</v>
      </c>
      <c r="E101" s="3" t="n">
        <f aca="false">_xlfn.XLOOKUP(A101,Item_Master!A:A,Item_Master!G:G)</f>
        <v>15650</v>
      </c>
      <c r="F101" s="3" t="n">
        <f aca="false">D101*E101</f>
        <v>1017250</v>
      </c>
    </row>
    <row r="102" customFormat="false" ht="15" hidden="false" customHeight="false" outlineLevel="0" collapsed="false">
      <c r="A102" s="0" t="s">
        <v>257</v>
      </c>
      <c r="B102" s="0" t="str">
        <f aca="false">_xlfn.XLOOKUP(A102,Item_Master!A:A,Item_Master!B:B)</f>
        <v>Nerolac Wall Primer 4L</v>
      </c>
      <c r="C102" s="0" t="str">
        <f aca="false">_xlfn.XLOOKUP(A102,Item_Master!A:A,Item_Master!C:C)</f>
        <v>Paints &amp; Coatings</v>
      </c>
      <c r="D102" s="0" t="n">
        <f aca="false">SUMIFS(Sales!D:D,Sales!C:C,A102)</f>
        <v>35</v>
      </c>
      <c r="E102" s="3" t="n">
        <f aca="false">_xlfn.XLOOKUP(A102,Item_Master!A:A,Item_Master!G:G)</f>
        <v>500</v>
      </c>
      <c r="F102" s="3" t="n">
        <f aca="false">D102*E102</f>
        <v>17500</v>
      </c>
    </row>
    <row r="103" customFormat="false" ht="15" hidden="false" customHeight="false" outlineLevel="0" collapsed="false">
      <c r="A103" s="0" t="s">
        <v>260</v>
      </c>
      <c r="B103" s="0" t="str">
        <f aca="false">_xlfn.XLOOKUP(A103,Item_Master!A:A,Item_Master!B:B)</f>
        <v>Crompton Cordless Drill 12V</v>
      </c>
      <c r="C103" s="0" t="str">
        <f aca="false">_xlfn.XLOOKUP(A103,Item_Master!A:A,Item_Master!C:C)</f>
        <v>Power Tools</v>
      </c>
      <c r="D103" s="0" t="n">
        <f aca="false">SUMIFS(Sales!D:D,Sales!C:C,A103)</f>
        <v>33</v>
      </c>
      <c r="E103" s="3" t="n">
        <f aca="false">_xlfn.XLOOKUP(A103,Item_Master!A:A,Item_Master!G:G)</f>
        <v>16780</v>
      </c>
      <c r="F103" s="3" t="n">
        <f aca="false">D103*E103</f>
        <v>553740</v>
      </c>
    </row>
    <row r="104" customFormat="false" ht="15" hidden="false" customHeight="false" outlineLevel="0" collapsed="false">
      <c r="A104" s="0" t="s">
        <v>262</v>
      </c>
      <c r="B104" s="0" t="str">
        <f aca="false">_xlfn.XLOOKUP(A104,Item_Master!A:A,Item_Master!B:B)</f>
        <v>Hettich Cabinet Knob Steel</v>
      </c>
      <c r="C104" s="0" t="str">
        <f aca="false">_xlfn.XLOOKUP(A104,Item_Master!A:A,Item_Master!C:C)</f>
        <v>Hardware</v>
      </c>
      <c r="D104" s="0" t="n">
        <f aca="false">SUMIFS(Sales!D:D,Sales!C:C,A104)</f>
        <v>123</v>
      </c>
      <c r="E104" s="3" t="n">
        <f aca="false">_xlfn.XLOOKUP(A104,Item_Master!A:A,Item_Master!G:G)</f>
        <v>2190</v>
      </c>
      <c r="F104" s="3" t="n">
        <f aca="false">D104*E104</f>
        <v>269370</v>
      </c>
    </row>
    <row r="105" customFormat="false" ht="15" hidden="false" customHeight="false" outlineLevel="0" collapsed="false">
      <c r="A105" s="0" t="s">
        <v>263</v>
      </c>
      <c r="B105" s="0" t="str">
        <f aca="false">_xlfn.XLOOKUP(A105,Item_Master!A:A,Item_Master!B:B)</f>
        <v>Makita Bench Grinder 8 inch</v>
      </c>
      <c r="C105" s="0" t="str">
        <f aca="false">_xlfn.XLOOKUP(A105,Item_Master!A:A,Item_Master!C:C)</f>
        <v>Power Tools</v>
      </c>
      <c r="D105" s="0" t="n">
        <f aca="false">SUMIFS(Sales!D:D,Sales!C:C,A105)</f>
        <v>33</v>
      </c>
      <c r="E105" s="3" t="n">
        <f aca="false">_xlfn.XLOOKUP(A105,Item_Master!A:A,Item_Master!G:G)</f>
        <v>12980</v>
      </c>
      <c r="F105" s="3" t="n">
        <f aca="false">D105*E105</f>
        <v>428340</v>
      </c>
    </row>
    <row r="106" customFormat="false" ht="15" hidden="false" customHeight="false" outlineLevel="0" collapsed="false">
      <c r="A106" s="0" t="s">
        <v>265</v>
      </c>
      <c r="B106" s="0" t="str">
        <f aca="false">_xlfn.XLOOKUP(A106,Item_Master!A:A,Item_Master!B:B)</f>
        <v>Apex Anchor Bolts M8</v>
      </c>
      <c r="C106" s="0" t="str">
        <f aca="false">_xlfn.XLOOKUP(A106,Item_Master!A:A,Item_Master!C:C)</f>
        <v>Fasteners</v>
      </c>
      <c r="D106" s="0" t="n">
        <f aca="false">SUMIFS(Sales!D:D,Sales!C:C,A106)</f>
        <v>110</v>
      </c>
      <c r="E106" s="3" t="n">
        <f aca="false">_xlfn.XLOOKUP(A106,Item_Master!A:A,Item_Master!G:G)</f>
        <v>270</v>
      </c>
      <c r="F106" s="3" t="n">
        <f aca="false">D106*E106</f>
        <v>29700</v>
      </c>
    </row>
    <row r="107" customFormat="false" ht="15" hidden="false" customHeight="false" outlineLevel="0" collapsed="false">
      <c r="A107" s="0" t="s">
        <v>267</v>
      </c>
      <c r="B107" s="0" t="str">
        <f aca="false">_xlfn.XLOOKUP(A107,Item_Master!A:A,Item_Master!B:B)</f>
        <v>Supreme Pillar Cock Standard</v>
      </c>
      <c r="C107" s="0" t="str">
        <f aca="false">_xlfn.XLOOKUP(A107,Item_Master!A:A,Item_Master!C:C)</f>
        <v>Plumbing</v>
      </c>
      <c r="D107" s="0" t="n">
        <f aca="false">SUMIFS(Sales!D:D,Sales!C:C,A107)</f>
        <v>103</v>
      </c>
      <c r="E107" s="3" t="n">
        <f aca="false">_xlfn.XLOOKUP(A107,Item_Master!A:A,Item_Master!G:G)</f>
        <v>170</v>
      </c>
      <c r="F107" s="3" t="n">
        <f aca="false">D107*E107</f>
        <v>17510</v>
      </c>
    </row>
    <row r="108" customFormat="false" ht="15" hidden="false" customHeight="false" outlineLevel="0" collapsed="false">
      <c r="A108" s="0" t="s">
        <v>269</v>
      </c>
      <c r="B108" s="0" t="str">
        <f aca="false">_xlfn.XLOOKUP(A108,Item_Master!A:A,Item_Master!B:B)</f>
        <v>Philips LED Tube Light 18W</v>
      </c>
      <c r="C108" s="0" t="str">
        <f aca="false">_xlfn.XLOOKUP(A108,Item_Master!A:A,Item_Master!C:C)</f>
        <v>Electrical</v>
      </c>
      <c r="D108" s="0" t="n">
        <f aca="false">SUMIFS(Sales!D:D,Sales!C:C,A108)</f>
        <v>94</v>
      </c>
      <c r="E108" s="3" t="n">
        <f aca="false">_xlfn.XLOOKUP(A108,Item_Master!A:A,Item_Master!G:G)</f>
        <v>2410</v>
      </c>
      <c r="F108" s="3" t="n">
        <f aca="false">D108*E108</f>
        <v>226540</v>
      </c>
    </row>
    <row r="109" customFormat="false" ht="15" hidden="false" customHeight="false" outlineLevel="0" collapsed="false">
      <c r="A109" s="0" t="s">
        <v>271</v>
      </c>
      <c r="B109" s="0" t="str">
        <f aca="false">_xlfn.XLOOKUP(A109,Item_Master!A:A,Item_Master!B:B)</f>
        <v>Europa Door Eye Standard</v>
      </c>
      <c r="C109" s="0" t="str">
        <f aca="false">_xlfn.XLOOKUP(A109,Item_Master!A:A,Item_Master!C:C)</f>
        <v>Hardware</v>
      </c>
      <c r="D109" s="0" t="n">
        <f aca="false">SUMIFS(Sales!D:D,Sales!C:C,A109)</f>
        <v>63</v>
      </c>
      <c r="E109" s="3" t="n">
        <f aca="false">_xlfn.XLOOKUP(A109,Item_Master!A:A,Item_Master!G:G)</f>
        <v>600</v>
      </c>
      <c r="F109" s="3" t="n">
        <f aca="false">D109*E109</f>
        <v>37800</v>
      </c>
    </row>
    <row r="110" customFormat="false" ht="15" hidden="false" customHeight="false" outlineLevel="0" collapsed="false">
      <c r="A110" s="0" t="s">
        <v>273</v>
      </c>
      <c r="B110" s="0" t="str">
        <f aca="false">_xlfn.XLOOKUP(A110,Item_Master!A:A,Item_Master!B:B)</f>
        <v>Visko Spirit Level 24 inch</v>
      </c>
      <c r="C110" s="0" t="str">
        <f aca="false">_xlfn.XLOOKUP(A110,Item_Master!A:A,Item_Master!C:C)</f>
        <v>Hand Tools</v>
      </c>
      <c r="D110" s="0" t="n">
        <f aca="false">SUMIFS(Sales!D:D,Sales!C:C,A110)</f>
        <v>74</v>
      </c>
      <c r="E110" s="3" t="n">
        <f aca="false">_xlfn.XLOOKUP(A110,Item_Master!A:A,Item_Master!G:G)</f>
        <v>2240</v>
      </c>
      <c r="F110" s="3" t="n">
        <f aca="false">D110*E110</f>
        <v>165760</v>
      </c>
    </row>
    <row r="111" customFormat="false" ht="15" hidden="false" customHeight="false" outlineLevel="0" collapsed="false">
      <c r="A111" s="0" t="s">
        <v>275</v>
      </c>
      <c r="B111" s="0" t="str">
        <f aca="false">_xlfn.XLOOKUP(A111,Item_Master!A:A,Item_Master!B:B)</f>
        <v>Philips Ceiling Fan 52 inch</v>
      </c>
      <c r="C111" s="0" t="str">
        <f aca="false">_xlfn.XLOOKUP(A111,Item_Master!A:A,Item_Master!C:C)</f>
        <v>Electrical</v>
      </c>
      <c r="D111" s="0" t="n">
        <f aca="false">SUMIFS(Sales!D:D,Sales!C:C,A111)</f>
        <v>141</v>
      </c>
      <c r="E111" s="3" t="n">
        <f aca="false">_xlfn.XLOOKUP(A111,Item_Master!A:A,Item_Master!G:G)</f>
        <v>4240</v>
      </c>
      <c r="F111" s="3" t="n">
        <f aca="false">D111*E111</f>
        <v>597840</v>
      </c>
    </row>
    <row r="112" customFormat="false" ht="15" hidden="false" customHeight="false" outlineLevel="0" collapsed="false">
      <c r="A112" s="0" t="s">
        <v>277</v>
      </c>
      <c r="B112" s="0" t="str">
        <f aca="false">_xlfn.XLOOKUP(A112,Item_Master!A:A,Item_Master!B:B)</f>
        <v>Bosi Spirit Level 24 inch</v>
      </c>
      <c r="C112" s="0" t="str">
        <f aca="false">_xlfn.XLOOKUP(A112,Item_Master!A:A,Item_Master!C:C)</f>
        <v>Hand Tools</v>
      </c>
      <c r="D112" s="0" t="n">
        <f aca="false">SUMIFS(Sales!D:D,Sales!C:C,A112)</f>
        <v>198</v>
      </c>
      <c r="E112" s="3" t="n">
        <f aca="false">_xlfn.XLOOKUP(A112,Item_Master!A:A,Item_Master!G:G)</f>
        <v>1960</v>
      </c>
      <c r="F112" s="3" t="n">
        <f aca="false">D112*E112</f>
        <v>388080</v>
      </c>
    </row>
    <row r="113" customFormat="false" ht="15" hidden="false" customHeight="false" outlineLevel="0" collapsed="false">
      <c r="A113" s="0" t="s">
        <v>279</v>
      </c>
      <c r="B113" s="0" t="str">
        <f aca="false">_xlfn.XLOOKUP(A113,Item_Master!A:A,Item_Master!B:B)</f>
        <v>DeWalt Hammer Drill Standard</v>
      </c>
      <c r="C113" s="0" t="str">
        <f aca="false">_xlfn.XLOOKUP(A113,Item_Master!A:A,Item_Master!C:C)</f>
        <v>Power Tools</v>
      </c>
      <c r="D113" s="0" t="n">
        <f aca="false">SUMIFS(Sales!D:D,Sales!C:C,A113)</f>
        <v>87</v>
      </c>
      <c r="E113" s="3" t="n">
        <f aca="false">_xlfn.XLOOKUP(A113,Item_Master!A:A,Item_Master!G:G)</f>
        <v>12970</v>
      </c>
      <c r="F113" s="3" t="n">
        <f aca="false">D113*E113</f>
        <v>1128390</v>
      </c>
    </row>
    <row r="114" customFormat="false" ht="15" hidden="false" customHeight="false" outlineLevel="0" collapsed="false">
      <c r="A114" s="0" t="s">
        <v>281</v>
      </c>
      <c r="B114" s="0" t="str">
        <f aca="false">_xlfn.XLOOKUP(A114,Item_Master!A:A,Item_Master!B:B)</f>
        <v>Supreme CPVC Pipe 1/2 inch</v>
      </c>
      <c r="C114" s="0" t="str">
        <f aca="false">_xlfn.XLOOKUP(A114,Item_Master!A:A,Item_Master!C:C)</f>
        <v>Plumbing</v>
      </c>
      <c r="D114" s="0" t="n">
        <f aca="false">SUMIFS(Sales!D:D,Sales!C:C,A114)</f>
        <v>19</v>
      </c>
      <c r="E114" s="3" t="n">
        <f aca="false">_xlfn.XLOOKUP(A114,Item_Master!A:A,Item_Master!G:G)</f>
        <v>770</v>
      </c>
      <c r="F114" s="3" t="n">
        <f aca="false">D114*E114</f>
        <v>14630</v>
      </c>
    </row>
    <row r="115" customFormat="false" ht="15" hidden="false" customHeight="false" outlineLevel="0" collapsed="false">
      <c r="A115" s="0" t="s">
        <v>283</v>
      </c>
      <c r="B115" s="0" t="str">
        <f aca="false">_xlfn.XLOOKUP(A115,Item_Master!A:A,Item_Master!B:B)</f>
        <v>DeWalt Bench Grinder 8 inch</v>
      </c>
      <c r="C115" s="0" t="str">
        <f aca="false">_xlfn.XLOOKUP(A115,Item_Master!A:A,Item_Master!C:C)</f>
        <v>Power Tools</v>
      </c>
      <c r="D115" s="0" t="n">
        <f aca="false">SUMIFS(Sales!D:D,Sales!C:C,A115)</f>
        <v>132</v>
      </c>
      <c r="E115" s="3" t="n">
        <f aca="false">_xlfn.XLOOKUP(A115,Item_Master!A:A,Item_Master!G:G)</f>
        <v>18970</v>
      </c>
      <c r="F115" s="3" t="n">
        <f aca="false">D115*E115</f>
        <v>2504040</v>
      </c>
    </row>
    <row r="116" customFormat="false" ht="15" hidden="false" customHeight="false" outlineLevel="0" collapsed="false">
      <c r="A116" s="0" t="s">
        <v>285</v>
      </c>
      <c r="B116" s="0" t="str">
        <f aca="false">_xlfn.XLOOKUP(A116,Item_Master!A:A,Item_Master!B:B)</f>
        <v>Visko Hacksaw Frame Standard</v>
      </c>
      <c r="C116" s="0" t="str">
        <f aca="false">_xlfn.XLOOKUP(A116,Item_Master!A:A,Item_Master!C:C)</f>
        <v>Hand Tools</v>
      </c>
      <c r="D116" s="0" t="n">
        <f aca="false">SUMIFS(Sales!D:D,Sales!C:C,A116)</f>
        <v>65</v>
      </c>
      <c r="E116" s="3" t="n">
        <f aca="false">_xlfn.XLOOKUP(A116,Item_Master!A:A,Item_Master!G:G)</f>
        <v>980</v>
      </c>
      <c r="F116" s="3" t="n">
        <f aca="false">D116*E116</f>
        <v>63700</v>
      </c>
    </row>
    <row r="117" customFormat="false" ht="15" hidden="false" customHeight="false" outlineLevel="0" collapsed="false">
      <c r="A117" s="0" t="s">
        <v>287</v>
      </c>
      <c r="B117" s="0" t="str">
        <f aca="false">_xlfn.XLOOKUP(A117,Item_Master!A:A,Item_Master!B:B)</f>
        <v>Bosch Reciprocating Saw Standard</v>
      </c>
      <c r="C117" s="0" t="str">
        <f aca="false">_xlfn.XLOOKUP(A117,Item_Master!A:A,Item_Master!C:C)</f>
        <v>Power Tools</v>
      </c>
      <c r="D117" s="0" t="n">
        <f aca="false">SUMIFS(Sales!D:D,Sales!C:C,A117)</f>
        <v>20</v>
      </c>
      <c r="E117" s="3" t="n">
        <f aca="false">_xlfn.XLOOKUP(A117,Item_Master!A:A,Item_Master!G:G)</f>
        <v>10540</v>
      </c>
      <c r="F117" s="3" t="n">
        <f aca="false">D117*E117</f>
        <v>210800</v>
      </c>
    </row>
    <row r="118" customFormat="false" ht="15" hidden="false" customHeight="false" outlineLevel="0" collapsed="false">
      <c r="A118" s="0" t="s">
        <v>289</v>
      </c>
      <c r="B118" s="0" t="str">
        <f aca="false">_xlfn.XLOOKUP(A118,Item_Master!A:A,Item_Master!B:B)</f>
        <v>Anchor PVC Conduit 25mm</v>
      </c>
      <c r="C118" s="0" t="str">
        <f aca="false">_xlfn.XLOOKUP(A118,Item_Master!A:A,Item_Master!C:C)</f>
        <v>Electrical</v>
      </c>
      <c r="D118" s="0" t="n">
        <f aca="false">SUMIFS(Sales!D:D,Sales!C:C,A118)</f>
        <v>60</v>
      </c>
      <c r="E118" s="3" t="n">
        <f aca="false">_xlfn.XLOOKUP(A118,Item_Master!A:A,Item_Master!G:G)</f>
        <v>3000</v>
      </c>
      <c r="F118" s="3" t="n">
        <f aca="false">D118*E118</f>
        <v>180000</v>
      </c>
    </row>
    <row r="119" customFormat="false" ht="15" hidden="false" customHeight="false" outlineLevel="0" collapsed="false">
      <c r="A119" s="0" t="s">
        <v>291</v>
      </c>
      <c r="B119" s="0" t="str">
        <f aca="false">_xlfn.XLOOKUP(A119,Item_Master!A:A,Item_Master!B:B)</f>
        <v>Crompton Circular Saw 8 inch</v>
      </c>
      <c r="C119" s="0" t="str">
        <f aca="false">_xlfn.XLOOKUP(A119,Item_Master!A:A,Item_Master!C:C)</f>
        <v>Power Tools</v>
      </c>
      <c r="D119" s="0" t="n">
        <f aca="false">SUMIFS(Sales!D:D,Sales!C:C,A119)</f>
        <v>43</v>
      </c>
      <c r="E119" s="3" t="n">
        <f aca="false">_xlfn.XLOOKUP(A119,Item_Master!A:A,Item_Master!G:G)</f>
        <v>15100</v>
      </c>
      <c r="F119" s="3" t="n">
        <f aca="false">D119*E119</f>
        <v>649300</v>
      </c>
    </row>
    <row r="120" customFormat="false" ht="15" hidden="false" customHeight="false" outlineLevel="0" collapsed="false">
      <c r="A120" s="0" t="s">
        <v>293</v>
      </c>
      <c r="B120" s="0" t="str">
        <f aca="false">_xlfn.XLOOKUP(A120,Item_Master!A:A,Item_Master!B:B)</f>
        <v>Karam First Aid Kit Small</v>
      </c>
      <c r="C120" s="0" t="str">
        <f aca="false">_xlfn.XLOOKUP(A120,Item_Master!A:A,Item_Master!C:C)</f>
        <v>Safety Gear</v>
      </c>
      <c r="D120" s="0" t="n">
        <f aca="false">SUMIFS(Sales!D:D,Sales!C:C,A120)</f>
        <v>50</v>
      </c>
      <c r="E120" s="3" t="n">
        <f aca="false">_xlfn.XLOOKUP(A120,Item_Master!A:A,Item_Master!G:G)</f>
        <v>610</v>
      </c>
      <c r="F120" s="3" t="n">
        <f aca="false">D120*E120</f>
        <v>30500</v>
      </c>
    </row>
    <row r="121" customFormat="false" ht="15" hidden="false" customHeight="false" outlineLevel="0" collapsed="false">
      <c r="A121" s="0" t="s">
        <v>295</v>
      </c>
      <c r="B121" s="0" t="str">
        <f aca="false">_xlfn.XLOOKUP(A121,Item_Master!A:A,Item_Master!B:B)</f>
        <v>GKW Washers M8</v>
      </c>
      <c r="C121" s="0" t="str">
        <f aca="false">_xlfn.XLOOKUP(A121,Item_Master!A:A,Item_Master!C:C)</f>
        <v>Fasteners</v>
      </c>
      <c r="D121" s="0" t="n">
        <f aca="false">SUMIFS(Sales!D:D,Sales!C:C,A121)</f>
        <v>65</v>
      </c>
      <c r="E121" s="3" t="n">
        <f aca="false">_xlfn.XLOOKUP(A121,Item_Master!A:A,Item_Master!G:G)</f>
        <v>590</v>
      </c>
      <c r="F121" s="3" t="n">
        <f aca="false">D121*E121</f>
        <v>38350</v>
      </c>
    </row>
    <row r="122" customFormat="false" ht="15" hidden="false" customHeight="false" outlineLevel="0" collapsed="false">
      <c r="A122" s="0" t="s">
        <v>297</v>
      </c>
      <c r="B122" s="0" t="str">
        <f aca="false">_xlfn.XLOOKUP(A122,Item_Master!A:A,Item_Master!B:B)</f>
        <v>Pye Hacksaw Frame Standard</v>
      </c>
      <c r="C122" s="0" t="str">
        <f aca="false">_xlfn.XLOOKUP(A122,Item_Master!A:A,Item_Master!C:C)</f>
        <v>Hand Tools</v>
      </c>
      <c r="D122" s="0" t="n">
        <f aca="false">SUMIFS(Sales!D:D,Sales!C:C,A122)</f>
        <v>45</v>
      </c>
      <c r="E122" s="3" t="n">
        <f aca="false">_xlfn.XLOOKUP(A122,Item_Master!A:A,Item_Master!G:G)</f>
        <v>680</v>
      </c>
      <c r="F122" s="3" t="n">
        <f aca="false">D122*E122</f>
        <v>30600</v>
      </c>
    </row>
    <row r="123" customFormat="false" ht="15" hidden="false" customHeight="false" outlineLevel="0" collapsed="false">
      <c r="A123" s="0" t="s">
        <v>300</v>
      </c>
      <c r="B123" s="0" t="str">
        <f aca="false">_xlfn.XLOOKUP(A123,Item_Master!A:A,Item_Master!B:B)</f>
        <v>Plaza MCB 6A</v>
      </c>
      <c r="C123" s="0" t="str">
        <f aca="false">_xlfn.XLOOKUP(A123,Item_Master!A:A,Item_Master!C:C)</f>
        <v>Electrical</v>
      </c>
      <c r="D123" s="0" t="n">
        <f aca="false">SUMIFS(Sales!D:D,Sales!C:C,A123)</f>
        <v>90</v>
      </c>
      <c r="E123" s="3" t="n">
        <f aca="false">_xlfn.XLOOKUP(A123,Item_Master!A:A,Item_Master!G:G)</f>
        <v>2550</v>
      </c>
      <c r="F123" s="3" t="n">
        <f aca="false">D123*E123</f>
        <v>229500</v>
      </c>
    </row>
    <row r="124" customFormat="false" ht="15" hidden="false" customHeight="false" outlineLevel="0" collapsed="false">
      <c r="A124" s="0" t="s">
        <v>302</v>
      </c>
      <c r="B124" s="0" t="str">
        <f aca="false">_xlfn.XLOOKUP(A124,Item_Master!A:A,Item_Master!B:B)</f>
        <v>DeWalt Random Orbit Sander 125mm</v>
      </c>
      <c r="C124" s="0" t="str">
        <f aca="false">_xlfn.XLOOKUP(A124,Item_Master!A:A,Item_Master!C:C)</f>
        <v>Power Tools</v>
      </c>
      <c r="D124" s="0" t="n">
        <f aca="false">SUMIFS(Sales!D:D,Sales!C:C,A124)</f>
        <v>488</v>
      </c>
      <c r="E124" s="3" t="n">
        <f aca="false">_xlfn.XLOOKUP(A124,Item_Master!A:A,Item_Master!G:G)</f>
        <v>10360</v>
      </c>
      <c r="F124" s="3" t="n">
        <f aca="false">D124*E124</f>
        <v>5055680</v>
      </c>
    </row>
    <row r="125" customFormat="false" ht="15" hidden="false" customHeight="false" outlineLevel="0" collapsed="false">
      <c r="A125" s="0" t="s">
        <v>304</v>
      </c>
      <c r="B125" s="0" t="str">
        <f aca="false">_xlfn.XLOOKUP(A125,Item_Master!A:A,Item_Master!B:B)</f>
        <v>GKW Anchor Bolts M10</v>
      </c>
      <c r="C125" s="0" t="str">
        <f aca="false">_xlfn.XLOOKUP(A125,Item_Master!A:A,Item_Master!C:C)</f>
        <v>Fasteners</v>
      </c>
      <c r="D125" s="0" t="n">
        <f aca="false">SUMIFS(Sales!D:D,Sales!C:C,A125)</f>
        <v>89</v>
      </c>
      <c r="E125" s="3" t="n">
        <f aca="false">_xlfn.XLOOKUP(A125,Item_Master!A:A,Item_Master!G:G)</f>
        <v>100</v>
      </c>
      <c r="F125" s="3" t="n">
        <f aca="false">D125*E125</f>
        <v>8900</v>
      </c>
    </row>
    <row r="126" customFormat="false" ht="15" hidden="false" customHeight="false" outlineLevel="0" collapsed="false">
      <c r="A126" s="0" t="s">
        <v>306</v>
      </c>
      <c r="B126" s="0" t="str">
        <f aca="false">_xlfn.XLOOKUP(A126,Item_Master!A:A,Item_Master!B:B)</f>
        <v>Polycab Ceiling Fan 48 inch</v>
      </c>
      <c r="C126" s="0" t="str">
        <f aca="false">_xlfn.XLOOKUP(A126,Item_Master!A:A,Item_Master!C:C)</f>
        <v>Electrical</v>
      </c>
      <c r="D126" s="0" t="n">
        <f aca="false">SUMIFS(Sales!D:D,Sales!C:C,A126)</f>
        <v>135</v>
      </c>
      <c r="E126" s="3" t="n">
        <f aca="false">_xlfn.XLOOKUP(A126,Item_Master!A:A,Item_Master!G:G)</f>
        <v>1020</v>
      </c>
      <c r="F126" s="3" t="n">
        <f aca="false">D126*E126</f>
        <v>137700</v>
      </c>
    </row>
    <row r="127" customFormat="false" ht="15" hidden="false" customHeight="false" outlineLevel="0" collapsed="false">
      <c r="A127" s="0" t="s">
        <v>308</v>
      </c>
      <c r="B127" s="0" t="str">
        <f aca="false">_xlfn.XLOOKUP(A127,Item_Master!A:A,Item_Master!B:B)</f>
        <v>GKW Washers M10</v>
      </c>
      <c r="C127" s="0" t="str">
        <f aca="false">_xlfn.XLOOKUP(A127,Item_Master!A:A,Item_Master!C:C)</f>
        <v>Fasteners</v>
      </c>
      <c r="D127" s="0" t="n">
        <f aca="false">SUMIFS(Sales!D:D,Sales!C:C,A127)</f>
        <v>102</v>
      </c>
      <c r="E127" s="3" t="n">
        <f aca="false">_xlfn.XLOOKUP(A127,Item_Master!A:A,Item_Master!G:G)</f>
        <v>190</v>
      </c>
      <c r="F127" s="3" t="n">
        <f aca="false">D127*E127</f>
        <v>19380</v>
      </c>
    </row>
    <row r="128" customFormat="false" ht="15" hidden="false" customHeight="false" outlineLevel="0" collapsed="false">
      <c r="A128" s="0" t="s">
        <v>310</v>
      </c>
      <c r="B128" s="0" t="str">
        <f aca="false">_xlfn.XLOOKUP(A128,Item_Master!A:A,Item_Master!B:B)</f>
        <v>Stanley Socket 1/2 inch Drive Set</v>
      </c>
      <c r="C128" s="0" t="str">
        <f aca="false">_xlfn.XLOOKUP(A128,Item_Master!A:A,Item_Master!C:C)</f>
        <v>Hand Tools</v>
      </c>
      <c r="D128" s="0" t="n">
        <f aca="false">SUMIFS(Sales!D:D,Sales!C:C,A128)</f>
        <v>444</v>
      </c>
      <c r="E128" s="3" t="n">
        <f aca="false">_xlfn.XLOOKUP(A128,Item_Master!A:A,Item_Master!G:G)</f>
        <v>610</v>
      </c>
      <c r="F128" s="3" t="n">
        <f aca="false">D128*E128</f>
        <v>270840</v>
      </c>
    </row>
    <row r="129" customFormat="false" ht="15" hidden="false" customHeight="false" outlineLevel="0" collapsed="false">
      <c r="A129" s="0" t="s">
        <v>312</v>
      </c>
      <c r="B129" s="0" t="str">
        <f aca="false">_xlfn.XLOOKUP(A129,Item_Master!A:A,Item_Master!B:B)</f>
        <v>3M Masking Tape 24mm</v>
      </c>
      <c r="C129" s="0" t="str">
        <f aca="false">_xlfn.XLOOKUP(A129,Item_Master!A:A,Item_Master!C:C)</f>
        <v>Adhesives &amp; Sealants</v>
      </c>
      <c r="D129" s="0" t="n">
        <f aca="false">SUMIFS(Sales!D:D,Sales!C:C,A129)</f>
        <v>195</v>
      </c>
      <c r="E129" s="3" t="n">
        <f aca="false">_xlfn.XLOOKUP(A129,Item_Master!A:A,Item_Master!G:G)</f>
        <v>830</v>
      </c>
      <c r="F129" s="3" t="n">
        <f aca="false">D129*E129</f>
        <v>161850</v>
      </c>
    </row>
    <row r="130" customFormat="false" ht="15" hidden="false" customHeight="false" outlineLevel="0" collapsed="false">
      <c r="A130" s="0" t="s">
        <v>314</v>
      </c>
      <c r="B130" s="0" t="str">
        <f aca="false">_xlfn.XLOOKUP(A130,Item_Master!A:A,Item_Master!B:B)</f>
        <v>Birla Wood Stain 1L</v>
      </c>
      <c r="C130" s="0" t="str">
        <f aca="false">_xlfn.XLOOKUP(A130,Item_Master!A:A,Item_Master!C:C)</f>
        <v>Paints &amp; Coatings</v>
      </c>
      <c r="D130" s="0" t="n">
        <f aca="false">SUMIFS(Sales!D:D,Sales!C:C,A130)</f>
        <v>64</v>
      </c>
      <c r="E130" s="3" t="n">
        <f aca="false">_xlfn.XLOOKUP(A130,Item_Master!A:A,Item_Master!G:G)</f>
        <v>3430</v>
      </c>
      <c r="F130" s="3" t="n">
        <f aca="false">D130*E130</f>
        <v>219520</v>
      </c>
    </row>
    <row r="131" customFormat="false" ht="15" hidden="false" customHeight="false" outlineLevel="0" collapsed="false">
      <c r="A131" s="0" t="s">
        <v>316</v>
      </c>
      <c r="B131" s="0" t="str">
        <f aca="false">_xlfn.XLOOKUP(A131,Item_Master!A:A,Item_Master!B:B)</f>
        <v>Finolex PVC Elbow 1 inch</v>
      </c>
      <c r="C131" s="0" t="str">
        <f aca="false">_xlfn.XLOOKUP(A131,Item_Master!A:A,Item_Master!C:C)</f>
        <v>Plumbing</v>
      </c>
      <c r="D131" s="0" t="n">
        <f aca="false">SUMIFS(Sales!D:D,Sales!C:C,A131)</f>
        <v>93</v>
      </c>
      <c r="E131" s="3" t="n">
        <f aca="false">_xlfn.XLOOKUP(A131,Item_Master!A:A,Item_Master!G:G)</f>
        <v>400</v>
      </c>
      <c r="F131" s="3" t="n">
        <f aca="false">D131*E131</f>
        <v>37200</v>
      </c>
    </row>
    <row r="132" customFormat="false" ht="15" hidden="false" customHeight="false" outlineLevel="0" collapsed="false">
      <c r="A132" s="0" t="s">
        <v>318</v>
      </c>
      <c r="B132" s="0" t="str">
        <f aca="false">_xlfn.XLOOKUP(A132,Item_Master!A:A,Item_Master!B:B)</f>
        <v>Astral Ball Valve 1/2 inch</v>
      </c>
      <c r="C132" s="0" t="str">
        <f aca="false">_xlfn.XLOOKUP(A132,Item_Master!A:A,Item_Master!C:C)</f>
        <v>Plumbing</v>
      </c>
      <c r="D132" s="0" t="n">
        <f aca="false">SUMIFS(Sales!D:D,Sales!C:C,A132)</f>
        <v>21</v>
      </c>
      <c r="E132" s="3" t="n">
        <f aca="false">_xlfn.XLOOKUP(A132,Item_Master!A:A,Item_Master!G:G)</f>
        <v>1650</v>
      </c>
      <c r="F132" s="3" t="n">
        <f aca="false">D132*E132</f>
        <v>34650</v>
      </c>
    </row>
    <row r="133" customFormat="false" ht="15" hidden="false" customHeight="false" outlineLevel="0" collapsed="false">
      <c r="A133" s="0" t="s">
        <v>319</v>
      </c>
      <c r="B133" s="0" t="str">
        <f aca="false">_xlfn.XLOOKUP(A133,Item_Master!A:A,Item_Master!B:B)</f>
        <v>DeWalt Bench Grinder 8 inch</v>
      </c>
      <c r="C133" s="0" t="str">
        <f aca="false">_xlfn.XLOOKUP(A133,Item_Master!A:A,Item_Master!C:C)</f>
        <v>Power Tools</v>
      </c>
      <c r="D133" s="0" t="n">
        <f aca="false">SUMIFS(Sales!D:D,Sales!C:C,A133)</f>
        <v>301</v>
      </c>
      <c r="E133" s="3" t="n">
        <f aca="false">_xlfn.XLOOKUP(A133,Item_Master!A:A,Item_Master!G:G)</f>
        <v>22710</v>
      </c>
      <c r="F133" s="3" t="n">
        <f aca="false">D133*E133</f>
        <v>6835710</v>
      </c>
    </row>
    <row r="134" customFormat="false" ht="15" hidden="false" customHeight="false" outlineLevel="0" collapsed="false">
      <c r="A134" s="0" t="s">
        <v>320</v>
      </c>
      <c r="B134" s="0" t="str">
        <f aca="false">_xlfn.XLOOKUP(A134,Item_Master!A:A,Item_Master!B:B)</f>
        <v>Taparia Screwdriver Set 6 pc</v>
      </c>
      <c r="C134" s="0" t="str">
        <f aca="false">_xlfn.XLOOKUP(A134,Item_Master!A:A,Item_Master!C:C)</f>
        <v>Hand Tools</v>
      </c>
      <c r="D134" s="0" t="n">
        <f aca="false">SUMIFS(Sales!D:D,Sales!C:C,A134)</f>
        <v>57</v>
      </c>
      <c r="E134" s="3" t="n">
        <f aca="false">_xlfn.XLOOKUP(A134,Item_Master!A:A,Item_Master!G:G)</f>
        <v>580</v>
      </c>
      <c r="F134" s="3" t="n">
        <f aca="false">D134*E134</f>
        <v>33060</v>
      </c>
    </row>
    <row r="135" customFormat="false" ht="15" hidden="false" customHeight="false" outlineLevel="0" collapsed="false">
      <c r="A135" s="0" t="s">
        <v>322</v>
      </c>
      <c r="B135" s="0" t="str">
        <f aca="false">_xlfn.XLOOKUP(A135,Item_Master!A:A,Item_Master!B:B)</f>
        <v>Supreme PVC Pipe 3/4 inch</v>
      </c>
      <c r="C135" s="0" t="str">
        <f aca="false">_xlfn.XLOOKUP(A135,Item_Master!A:A,Item_Master!C:C)</f>
        <v>Plumbing</v>
      </c>
      <c r="D135" s="0" t="n">
        <f aca="false">SUMIFS(Sales!D:D,Sales!C:C,A135)</f>
        <v>90</v>
      </c>
      <c r="E135" s="3" t="n">
        <f aca="false">_xlfn.XLOOKUP(A135,Item_Master!A:A,Item_Master!G:G)</f>
        <v>2190</v>
      </c>
      <c r="F135" s="3" t="n">
        <f aca="false">D135*E135</f>
        <v>197100</v>
      </c>
    </row>
    <row r="136" customFormat="false" ht="15" hidden="false" customHeight="false" outlineLevel="0" collapsed="false">
      <c r="A136" s="0" t="s">
        <v>324</v>
      </c>
      <c r="B136" s="0" t="str">
        <f aca="false">_xlfn.XLOOKUP(A136,Item_Master!A:A,Item_Master!B:B)</f>
        <v>Black &amp; Decker Random Orbit Sander 125mm</v>
      </c>
      <c r="C136" s="0" t="str">
        <f aca="false">_xlfn.XLOOKUP(A136,Item_Master!A:A,Item_Master!C:C)</f>
        <v>Power Tools</v>
      </c>
      <c r="D136" s="0" t="n">
        <f aca="false">SUMIFS(Sales!D:D,Sales!C:C,A136)</f>
        <v>146</v>
      </c>
      <c r="E136" s="3" t="n">
        <f aca="false">_xlfn.XLOOKUP(A136,Item_Master!A:A,Item_Master!G:G)</f>
        <v>19980</v>
      </c>
      <c r="F136" s="3" t="n">
        <f aca="false">D136*E136</f>
        <v>2917080</v>
      </c>
    </row>
    <row r="137" customFormat="false" ht="15" hidden="false" customHeight="false" outlineLevel="0" collapsed="false">
      <c r="A137" s="0" t="s">
        <v>326</v>
      </c>
      <c r="B137" s="0" t="str">
        <f aca="false">_xlfn.XLOOKUP(A137,Item_Master!A:A,Item_Master!B:B)</f>
        <v>Stanley Heat Gun 1500W</v>
      </c>
      <c r="C137" s="0" t="str">
        <f aca="false">_xlfn.XLOOKUP(A137,Item_Master!A:A,Item_Master!C:C)</f>
        <v>Power Tools</v>
      </c>
      <c r="D137" s="0" t="n">
        <f aca="false">SUMIFS(Sales!D:D,Sales!C:C,A137)</f>
        <v>52</v>
      </c>
      <c r="E137" s="3" t="n">
        <f aca="false">_xlfn.XLOOKUP(A137,Item_Master!A:A,Item_Master!G:G)</f>
        <v>17510</v>
      </c>
      <c r="F137" s="3" t="n">
        <f aca="false">D137*E137</f>
        <v>910520</v>
      </c>
    </row>
    <row r="138" customFormat="false" ht="15" hidden="false" customHeight="false" outlineLevel="0" collapsed="false">
      <c r="A138" s="0" t="s">
        <v>328</v>
      </c>
      <c r="B138" s="0" t="str">
        <f aca="false">_xlfn.XLOOKUP(A138,Item_Master!A:A,Item_Master!B:B)</f>
        <v>Honeywell Safety Goggles Clear</v>
      </c>
      <c r="C138" s="0" t="str">
        <f aca="false">_xlfn.XLOOKUP(A138,Item_Master!A:A,Item_Master!C:C)</f>
        <v>Safety Gear</v>
      </c>
      <c r="D138" s="0" t="n">
        <f aca="false">SUMIFS(Sales!D:D,Sales!C:C,A138)</f>
        <v>43</v>
      </c>
      <c r="E138" s="3" t="n">
        <f aca="false">_xlfn.XLOOKUP(A138,Item_Master!A:A,Item_Master!G:G)</f>
        <v>3070</v>
      </c>
      <c r="F138" s="3" t="n">
        <f aca="false">D138*E138</f>
        <v>132010</v>
      </c>
    </row>
    <row r="139" customFormat="false" ht="15" hidden="false" customHeight="false" outlineLevel="0" collapsed="false">
      <c r="A139" s="0" t="s">
        <v>331</v>
      </c>
      <c r="B139" s="0" t="str">
        <f aca="false">_xlfn.XLOOKUP(A139,Item_Master!A:A,Item_Master!B:B)</f>
        <v>Yale Door Closer Heavy Duty</v>
      </c>
      <c r="C139" s="0" t="str">
        <f aca="false">_xlfn.XLOOKUP(A139,Item_Master!A:A,Item_Master!C:C)</f>
        <v>Hardware</v>
      </c>
      <c r="D139" s="0" t="n">
        <f aca="false">SUMIFS(Sales!D:D,Sales!C:C,A139)</f>
        <v>112</v>
      </c>
      <c r="E139" s="3" t="n">
        <f aca="false">_xlfn.XLOOKUP(A139,Item_Master!A:A,Item_Master!G:G)</f>
        <v>1300</v>
      </c>
      <c r="F139" s="3" t="n">
        <f aca="false">D139*E139</f>
        <v>145600</v>
      </c>
    </row>
    <row r="140" customFormat="false" ht="15" hidden="false" customHeight="false" outlineLevel="0" collapsed="false">
      <c r="A140" s="0" t="s">
        <v>333</v>
      </c>
      <c r="B140" s="0" t="str">
        <f aca="false">_xlfn.XLOOKUP(A140,Item_Master!A:A,Item_Master!B:B)</f>
        <v>3M Dust Mask N95</v>
      </c>
      <c r="C140" s="0" t="str">
        <f aca="false">_xlfn.XLOOKUP(A140,Item_Master!A:A,Item_Master!C:C)</f>
        <v>Safety Gear</v>
      </c>
      <c r="D140" s="0" t="n">
        <f aca="false">SUMIFS(Sales!D:D,Sales!C:C,A140)</f>
        <v>21</v>
      </c>
      <c r="E140" s="3" t="n">
        <f aca="false">_xlfn.XLOOKUP(A140,Item_Master!A:A,Item_Master!G:G)</f>
        <v>3820</v>
      </c>
      <c r="F140" s="3" t="n">
        <f aca="false">D140*E140</f>
        <v>80220</v>
      </c>
    </row>
    <row r="141" customFormat="false" ht="15" hidden="false" customHeight="false" outlineLevel="0" collapsed="false">
      <c r="A141" s="0" t="s">
        <v>334</v>
      </c>
      <c r="B141" s="0" t="str">
        <f aca="false">_xlfn.XLOOKUP(A141,Item_Master!A:A,Item_Master!B:B)</f>
        <v>Apex Wall Plugs 6mm</v>
      </c>
      <c r="C141" s="0" t="str">
        <f aca="false">_xlfn.XLOOKUP(A141,Item_Master!A:A,Item_Master!C:C)</f>
        <v>Fasteners</v>
      </c>
      <c r="D141" s="0" t="n">
        <f aca="false">SUMIFS(Sales!D:D,Sales!C:C,A141)</f>
        <v>75</v>
      </c>
      <c r="E141" s="3" t="n">
        <f aca="false">_xlfn.XLOOKUP(A141,Item_Master!A:A,Item_Master!G:G)</f>
        <v>440</v>
      </c>
      <c r="F141" s="3" t="n">
        <f aca="false">D141*E141</f>
        <v>33000</v>
      </c>
    </row>
    <row r="142" customFormat="false" ht="15" hidden="false" customHeight="false" outlineLevel="0" collapsed="false">
      <c r="A142" s="0" t="s">
        <v>336</v>
      </c>
      <c r="B142" s="0" t="str">
        <f aca="false">_xlfn.XLOOKUP(A142,Item_Master!A:A,Item_Master!B:B)</f>
        <v>Nerolac Distemper 5kg</v>
      </c>
      <c r="C142" s="0" t="str">
        <f aca="false">_xlfn.XLOOKUP(A142,Item_Master!A:A,Item_Master!C:C)</f>
        <v>Paints &amp; Coatings</v>
      </c>
      <c r="D142" s="0" t="n">
        <f aca="false">SUMIFS(Sales!D:D,Sales!C:C,A142)</f>
        <v>44</v>
      </c>
      <c r="E142" s="3" t="n">
        <f aca="false">_xlfn.XLOOKUP(A142,Item_Master!A:A,Item_Master!G:G)</f>
        <v>3410</v>
      </c>
      <c r="F142" s="3" t="n">
        <f aca="false">D142*E142</f>
        <v>150040</v>
      </c>
    </row>
    <row r="143" customFormat="false" ht="15" hidden="false" customHeight="false" outlineLevel="0" collapsed="false">
      <c r="A143" s="0" t="s">
        <v>338</v>
      </c>
      <c r="B143" s="0" t="str">
        <f aca="false">_xlfn.XLOOKUP(A143,Item_Master!A:A,Item_Master!B:B)</f>
        <v>Visko Hacksaw Frame Standard</v>
      </c>
      <c r="C143" s="0" t="str">
        <f aca="false">_xlfn.XLOOKUP(A143,Item_Master!A:A,Item_Master!C:C)</f>
        <v>Hand Tools</v>
      </c>
      <c r="D143" s="0" t="n">
        <f aca="false">SUMIFS(Sales!D:D,Sales!C:C,A143)</f>
        <v>66</v>
      </c>
      <c r="E143" s="3" t="n">
        <f aca="false">_xlfn.XLOOKUP(A143,Item_Master!A:A,Item_Master!G:G)</f>
        <v>3160</v>
      </c>
      <c r="F143" s="3" t="n">
        <f aca="false">D143*E143</f>
        <v>208560</v>
      </c>
    </row>
    <row r="144" customFormat="false" ht="15" hidden="false" customHeight="false" outlineLevel="0" collapsed="false">
      <c r="A144" s="0" t="s">
        <v>339</v>
      </c>
      <c r="B144" s="0" t="str">
        <f aca="false">_xlfn.XLOOKUP(A144,Item_Master!A:A,Item_Master!B:B)</f>
        <v>DeWalt Hammer Drill Heavy Duty</v>
      </c>
      <c r="C144" s="0" t="str">
        <f aca="false">_xlfn.XLOOKUP(A144,Item_Master!A:A,Item_Master!C:C)</f>
        <v>Power Tools</v>
      </c>
      <c r="D144" s="0" t="n">
        <f aca="false">SUMIFS(Sales!D:D,Sales!C:C,A144)</f>
        <v>38</v>
      </c>
      <c r="E144" s="3" t="n">
        <f aca="false">_xlfn.XLOOKUP(A144,Item_Master!A:A,Item_Master!G:G)</f>
        <v>5060</v>
      </c>
      <c r="F144" s="3" t="n">
        <f aca="false">D144*E144</f>
        <v>192280</v>
      </c>
    </row>
    <row r="145" customFormat="false" ht="15" hidden="false" customHeight="false" outlineLevel="0" collapsed="false">
      <c r="A145" s="0" t="s">
        <v>341</v>
      </c>
      <c r="B145" s="0" t="str">
        <f aca="false">_xlfn.XLOOKUP(A145,Item_Master!A:A,Item_Master!B:B)</f>
        <v>Finolex PVC Wire 2.5 sqmm</v>
      </c>
      <c r="C145" s="0" t="str">
        <f aca="false">_xlfn.XLOOKUP(A145,Item_Master!A:A,Item_Master!C:C)</f>
        <v>Electrical</v>
      </c>
      <c r="D145" s="0" t="n">
        <f aca="false">SUMIFS(Sales!D:D,Sales!C:C,A145)</f>
        <v>154</v>
      </c>
      <c r="E145" s="3" t="n">
        <f aca="false">_xlfn.XLOOKUP(A145,Item_Master!A:A,Item_Master!G:G)</f>
        <v>700</v>
      </c>
      <c r="F145" s="3" t="n">
        <f aca="false">D145*E145</f>
        <v>107800</v>
      </c>
    </row>
    <row r="146" customFormat="false" ht="15" hidden="false" customHeight="false" outlineLevel="0" collapsed="false">
      <c r="A146" s="0" t="s">
        <v>343</v>
      </c>
      <c r="B146" s="0" t="str">
        <f aca="false">_xlfn.XLOOKUP(A146,Item_Master!A:A,Item_Master!B:B)</f>
        <v>Visko Ball Peen Hammer 16oz</v>
      </c>
      <c r="C146" s="0" t="str">
        <f aca="false">_xlfn.XLOOKUP(A146,Item_Master!A:A,Item_Master!C:C)</f>
        <v>Hand Tools</v>
      </c>
      <c r="D146" s="0" t="n">
        <f aca="false">SUMIFS(Sales!D:D,Sales!C:C,A146)</f>
        <v>107</v>
      </c>
      <c r="E146" s="3" t="n">
        <f aca="false">_xlfn.XLOOKUP(A146,Item_Master!A:A,Item_Master!G:G)</f>
        <v>1750</v>
      </c>
      <c r="F146" s="3" t="n">
        <f aca="false">D146*E146</f>
        <v>187250</v>
      </c>
    </row>
    <row r="147" customFormat="false" ht="15" hidden="false" customHeight="false" outlineLevel="0" collapsed="false">
      <c r="A147" s="0" t="s">
        <v>345</v>
      </c>
      <c r="B147" s="0" t="str">
        <f aca="false">_xlfn.XLOOKUP(A147,Item_Master!A:A,Item_Master!B:B)</f>
        <v>Ashirvad Shower Head Rainfall</v>
      </c>
      <c r="C147" s="0" t="str">
        <f aca="false">_xlfn.XLOOKUP(A147,Item_Master!A:A,Item_Master!C:C)</f>
        <v>Plumbing</v>
      </c>
      <c r="D147" s="0" t="n">
        <f aca="false">SUMIFS(Sales!D:D,Sales!C:C,A147)</f>
        <v>13</v>
      </c>
      <c r="E147" s="3" t="n">
        <f aca="false">_xlfn.XLOOKUP(A147,Item_Master!A:A,Item_Master!G:G)</f>
        <v>2240</v>
      </c>
      <c r="F147" s="3" t="n">
        <f aca="false">D147*E147</f>
        <v>29120</v>
      </c>
    </row>
    <row r="148" customFormat="false" ht="15" hidden="false" customHeight="false" outlineLevel="0" collapsed="false">
      <c r="A148" s="0" t="s">
        <v>347</v>
      </c>
      <c r="B148" s="0" t="str">
        <f aca="false">_xlfn.XLOOKUP(A148,Item_Master!A:A,Item_Master!B:B)</f>
        <v>Apex Wood Screws 2 inch</v>
      </c>
      <c r="C148" s="0" t="str">
        <f aca="false">_xlfn.XLOOKUP(A148,Item_Master!A:A,Item_Master!C:C)</f>
        <v>Fasteners</v>
      </c>
      <c r="D148" s="0" t="n">
        <f aca="false">SUMIFS(Sales!D:D,Sales!C:C,A148)</f>
        <v>76</v>
      </c>
      <c r="E148" s="3" t="n">
        <f aca="false">_xlfn.XLOOKUP(A148,Item_Master!A:A,Item_Master!G:G)</f>
        <v>240</v>
      </c>
      <c r="F148" s="3" t="n">
        <f aca="false">D148*E148</f>
        <v>18240</v>
      </c>
    </row>
    <row r="149" customFormat="false" ht="15" hidden="false" customHeight="false" outlineLevel="0" collapsed="false">
      <c r="A149" s="0" t="s">
        <v>349</v>
      </c>
      <c r="B149" s="0" t="str">
        <f aca="false">_xlfn.XLOOKUP(A149,Item_Master!A:A,Item_Master!B:B)</f>
        <v>Birla Metal Primer 1L</v>
      </c>
      <c r="C149" s="0" t="str">
        <f aca="false">_xlfn.XLOOKUP(A149,Item_Master!A:A,Item_Master!C:C)</f>
        <v>Paints &amp; Coatings</v>
      </c>
      <c r="D149" s="0" t="n">
        <f aca="false">SUMIFS(Sales!D:D,Sales!C:C,A149)</f>
        <v>490</v>
      </c>
      <c r="E149" s="3" t="n">
        <f aca="false">_xlfn.XLOOKUP(A149,Item_Master!A:A,Item_Master!G:G)</f>
        <v>2830</v>
      </c>
      <c r="F149" s="3" t="n">
        <f aca="false">D149*E149</f>
        <v>1386700</v>
      </c>
    </row>
    <row r="150" customFormat="false" ht="15" hidden="false" customHeight="false" outlineLevel="0" collapsed="false">
      <c r="A150" s="0" t="s">
        <v>351</v>
      </c>
      <c r="B150" s="0" t="str">
        <f aca="false">_xlfn.XLOOKUP(A150,Item_Master!A:A,Item_Master!B:B)</f>
        <v>Falcon Hoe Standard</v>
      </c>
      <c r="C150" s="0" t="str">
        <f aca="false">_xlfn.XLOOKUP(A150,Item_Master!A:A,Item_Master!C:C)</f>
        <v>Garden Tools</v>
      </c>
      <c r="D150" s="0" t="n">
        <f aca="false">SUMIFS(Sales!D:D,Sales!C:C,A150)</f>
        <v>131</v>
      </c>
      <c r="E150" s="3" t="n">
        <f aca="false">_xlfn.XLOOKUP(A150,Item_Master!A:A,Item_Master!G:G)</f>
        <v>1780</v>
      </c>
      <c r="F150" s="3" t="n">
        <f aca="false">D150*E150</f>
        <v>233180</v>
      </c>
    </row>
    <row r="151" customFormat="false" ht="15" hidden="false" customHeight="false" outlineLevel="0" collapsed="false">
      <c r="A151" s="0" t="s">
        <v>353</v>
      </c>
      <c r="B151" s="0" t="str">
        <f aca="false">_xlfn.XLOOKUP(A151,Item_Master!A:A,Item_Master!B:B)</f>
        <v>GKW Wood Screws 2 inch</v>
      </c>
      <c r="C151" s="0" t="str">
        <f aca="false">_xlfn.XLOOKUP(A151,Item_Master!A:A,Item_Master!C:C)</f>
        <v>Fasteners</v>
      </c>
      <c r="D151" s="0" t="n">
        <f aca="false">SUMIFS(Sales!D:D,Sales!C:C,A151)</f>
        <v>67</v>
      </c>
      <c r="E151" s="3" t="n">
        <f aca="false">_xlfn.XLOOKUP(A151,Item_Master!A:A,Item_Master!G:G)</f>
        <v>420</v>
      </c>
      <c r="F151" s="3" t="n">
        <f aca="false">D151*E151</f>
        <v>28140</v>
      </c>
    </row>
    <row r="152" customFormat="false" ht="15" hidden="false" customHeight="false" outlineLevel="0" collapsed="false">
      <c r="A152" s="0" t="s">
        <v>355</v>
      </c>
      <c r="B152" s="0" t="str">
        <f aca="false">_xlfn.XLOOKUP(A152,Item_Master!A:A,Item_Master!B:B)</f>
        <v>Araldite Duct Tape 48mm x 25m</v>
      </c>
      <c r="C152" s="0" t="str">
        <f aca="false">_xlfn.XLOOKUP(A152,Item_Master!A:A,Item_Master!C:C)</f>
        <v>Adhesives &amp; Sealants</v>
      </c>
      <c r="D152" s="0" t="n">
        <f aca="false">SUMIFS(Sales!D:D,Sales!C:C,A152)</f>
        <v>51</v>
      </c>
      <c r="E152" s="3" t="n">
        <f aca="false">_xlfn.XLOOKUP(A152,Item_Master!A:A,Item_Master!G:G)</f>
        <v>990</v>
      </c>
      <c r="F152" s="3" t="n">
        <f aca="false">D152*E152</f>
        <v>50490</v>
      </c>
    </row>
    <row r="153" customFormat="false" ht="15" hidden="false" customHeight="false" outlineLevel="0" collapsed="false">
      <c r="A153" s="0" t="s">
        <v>357</v>
      </c>
      <c r="B153" s="0" t="str">
        <f aca="false">_xlfn.XLOOKUP(A153,Item_Master!A:A,Item_Master!B:B)</f>
        <v>Stanley Angle Grinder 9 inch</v>
      </c>
      <c r="C153" s="0" t="str">
        <f aca="false">_xlfn.XLOOKUP(A153,Item_Master!A:A,Item_Master!C:C)</f>
        <v>Power Tools</v>
      </c>
      <c r="D153" s="0" t="n">
        <f aca="false">SUMIFS(Sales!D:D,Sales!C:C,A153)</f>
        <v>140</v>
      </c>
      <c r="E153" s="3" t="n">
        <f aca="false">_xlfn.XLOOKUP(A153,Item_Master!A:A,Item_Master!G:G)</f>
        <v>10970</v>
      </c>
      <c r="F153" s="3" t="n">
        <f aca="false">D153*E153</f>
        <v>1535800</v>
      </c>
    </row>
    <row r="154" customFormat="false" ht="15" hidden="false" customHeight="false" outlineLevel="0" collapsed="false">
      <c r="A154" s="0" t="s">
        <v>359</v>
      </c>
      <c r="B154" s="0" t="str">
        <f aca="false">_xlfn.XLOOKUP(A154,Item_Master!A:A,Item_Master!B:B)</f>
        <v>Apex Iron Nails 2 inch</v>
      </c>
      <c r="C154" s="0" t="str">
        <f aca="false">_xlfn.XLOOKUP(A154,Item_Master!A:A,Item_Master!C:C)</f>
        <v>Fasteners</v>
      </c>
      <c r="D154" s="0" t="n">
        <f aca="false">SUMIFS(Sales!D:D,Sales!C:C,A154)</f>
        <v>47</v>
      </c>
      <c r="E154" s="3" t="n">
        <f aca="false">_xlfn.XLOOKUP(A154,Item_Master!A:A,Item_Master!G:G)</f>
        <v>550</v>
      </c>
      <c r="F154" s="3" t="n">
        <f aca="false">D154*E154</f>
        <v>25850</v>
      </c>
    </row>
    <row r="155" customFormat="false" ht="15" hidden="false" customHeight="false" outlineLevel="0" collapsed="false">
      <c r="A155" s="0" t="s">
        <v>361</v>
      </c>
      <c r="B155" s="0" t="str">
        <f aca="false">_xlfn.XLOOKUP(A155,Item_Master!A:A,Item_Master!B:B)</f>
        <v>Europa Lock Padlock</v>
      </c>
      <c r="C155" s="0" t="str">
        <f aca="false">_xlfn.XLOOKUP(A155,Item_Master!A:A,Item_Master!C:C)</f>
        <v>Hardware</v>
      </c>
      <c r="D155" s="0" t="n">
        <f aca="false">SUMIFS(Sales!D:D,Sales!C:C,A155)</f>
        <v>121</v>
      </c>
      <c r="E155" s="3" t="n">
        <f aca="false">_xlfn.XLOOKUP(A155,Item_Master!A:A,Item_Master!G:G)</f>
        <v>2500</v>
      </c>
      <c r="F155" s="3" t="n">
        <f aca="false">D155*E155</f>
        <v>302500</v>
      </c>
    </row>
    <row r="156" customFormat="false" ht="15" hidden="false" customHeight="false" outlineLevel="0" collapsed="false">
      <c r="A156" s="0" t="s">
        <v>363</v>
      </c>
      <c r="B156" s="0" t="str">
        <f aca="false">_xlfn.XLOOKUP(A156,Item_Master!A:A,Item_Master!B:B)</f>
        <v>Fevicol Masking Tape 24mm</v>
      </c>
      <c r="C156" s="0" t="str">
        <f aca="false">_xlfn.XLOOKUP(A156,Item_Master!A:A,Item_Master!C:C)</f>
        <v>Adhesives &amp; Sealants</v>
      </c>
      <c r="D156" s="0" t="n">
        <f aca="false">SUMIFS(Sales!D:D,Sales!C:C,A156)</f>
        <v>254</v>
      </c>
      <c r="E156" s="3" t="n">
        <f aca="false">_xlfn.XLOOKUP(A156,Item_Master!A:A,Item_Master!G:G)</f>
        <v>1380</v>
      </c>
      <c r="F156" s="3" t="n">
        <f aca="false">D156*E156</f>
        <v>350520</v>
      </c>
    </row>
    <row r="157" customFormat="false" ht="15" hidden="false" customHeight="false" outlineLevel="0" collapsed="false">
      <c r="A157" s="0" t="s">
        <v>364</v>
      </c>
      <c r="B157" s="0" t="str">
        <f aca="false">_xlfn.XLOOKUP(A157,Item_Master!A:A,Item_Master!B:B)</f>
        <v>Legrand Switch 1-way</v>
      </c>
      <c r="C157" s="0" t="str">
        <f aca="false">_xlfn.XLOOKUP(A157,Item_Master!A:A,Item_Master!C:C)</f>
        <v>Electrical</v>
      </c>
      <c r="D157" s="0" t="n">
        <f aca="false">SUMIFS(Sales!D:D,Sales!C:C,A157)</f>
        <v>87</v>
      </c>
      <c r="E157" s="3" t="n">
        <f aca="false">_xlfn.XLOOKUP(A157,Item_Master!A:A,Item_Master!G:G)</f>
        <v>3570</v>
      </c>
      <c r="F157" s="3" t="n">
        <f aca="false">D157*E157</f>
        <v>310590</v>
      </c>
    </row>
    <row r="158" customFormat="false" ht="15" hidden="false" customHeight="false" outlineLevel="0" collapsed="false">
      <c r="A158" s="0" t="s">
        <v>366</v>
      </c>
      <c r="B158" s="0" t="str">
        <f aca="false">_xlfn.XLOOKUP(A158,Item_Master!A:A,Item_Master!B:B)</f>
        <v>Stanley Ball Peen Hammer 8oz</v>
      </c>
      <c r="C158" s="0" t="str">
        <f aca="false">_xlfn.XLOOKUP(A158,Item_Master!A:A,Item_Master!C:C)</f>
        <v>Hand Tools</v>
      </c>
      <c r="D158" s="0" t="n">
        <f aca="false">SUMIFS(Sales!D:D,Sales!C:C,A158)</f>
        <v>150</v>
      </c>
      <c r="E158" s="3" t="n">
        <f aca="false">_xlfn.XLOOKUP(A158,Item_Master!A:A,Item_Master!G:G)</f>
        <v>2730</v>
      </c>
      <c r="F158" s="3" t="n">
        <f aca="false">D158*E158</f>
        <v>409500</v>
      </c>
    </row>
    <row r="159" customFormat="false" ht="15" hidden="false" customHeight="false" outlineLevel="0" collapsed="false">
      <c r="A159" s="0" t="s">
        <v>368</v>
      </c>
      <c r="B159" s="0" t="str">
        <f aca="false">_xlfn.XLOOKUP(A159,Item_Master!A:A,Item_Master!B:B)</f>
        <v>Hettich Bracket L-Shape</v>
      </c>
      <c r="C159" s="0" t="str">
        <f aca="false">_xlfn.XLOOKUP(A159,Item_Master!A:A,Item_Master!C:C)</f>
        <v>Hardware</v>
      </c>
      <c r="D159" s="0" t="n">
        <f aca="false">SUMIFS(Sales!D:D,Sales!C:C,A159)</f>
        <v>113</v>
      </c>
      <c r="E159" s="3" t="n">
        <f aca="false">_xlfn.XLOOKUP(A159,Item_Master!A:A,Item_Master!G:G)</f>
        <v>1480</v>
      </c>
      <c r="F159" s="3" t="n">
        <f aca="false">D159*E159</f>
        <v>167240</v>
      </c>
    </row>
    <row r="160" customFormat="false" ht="15" hidden="false" customHeight="false" outlineLevel="0" collapsed="false">
      <c r="A160" s="0" t="s">
        <v>370</v>
      </c>
      <c r="B160" s="0" t="str">
        <f aca="false">_xlfn.XLOOKUP(A160,Item_Master!A:A,Item_Master!B:B)</f>
        <v>Loctite Duct Tape 48mm x 25m</v>
      </c>
      <c r="C160" s="0" t="str">
        <f aca="false">_xlfn.XLOOKUP(A160,Item_Master!A:A,Item_Master!C:C)</f>
        <v>Adhesives &amp; Sealants</v>
      </c>
      <c r="D160" s="0" t="n">
        <f aca="false">SUMIFS(Sales!D:D,Sales!C:C,A160)</f>
        <v>77</v>
      </c>
      <c r="E160" s="3" t="n">
        <f aca="false">_xlfn.XLOOKUP(A160,Item_Master!A:A,Item_Master!G:G)</f>
        <v>1170</v>
      </c>
      <c r="F160" s="3" t="n">
        <f aca="false">D160*E160</f>
        <v>90090</v>
      </c>
    </row>
    <row r="161" customFormat="false" ht="15" hidden="false" customHeight="false" outlineLevel="0" collapsed="false">
      <c r="A161" s="0" t="s">
        <v>372</v>
      </c>
      <c r="B161" s="0" t="str">
        <f aca="false">_xlfn.XLOOKUP(A161,Item_Master!A:A,Item_Master!B:B)</f>
        <v>Crompton MCB 6A</v>
      </c>
      <c r="C161" s="0" t="str">
        <f aca="false">_xlfn.XLOOKUP(A161,Item_Master!A:A,Item_Master!C:C)</f>
        <v>Electrical</v>
      </c>
      <c r="D161" s="0" t="n">
        <f aca="false">SUMIFS(Sales!D:D,Sales!C:C,A161)</f>
        <v>187</v>
      </c>
      <c r="E161" s="3" t="n">
        <f aca="false">_xlfn.XLOOKUP(A161,Item_Master!A:A,Item_Master!G:G)</f>
        <v>4450</v>
      </c>
      <c r="F161" s="3" t="n">
        <f aca="false">D161*E161</f>
        <v>832150</v>
      </c>
    </row>
    <row r="162" customFormat="false" ht="15" hidden="false" customHeight="false" outlineLevel="0" collapsed="false">
      <c r="A162" s="0" t="s">
        <v>374</v>
      </c>
      <c r="B162" s="0" t="str">
        <f aca="false">_xlfn.XLOOKUP(A162,Item_Master!A:A,Item_Master!B:B)</f>
        <v>TVS Claw Hammer 8oz</v>
      </c>
      <c r="C162" s="0" t="str">
        <f aca="false">_xlfn.XLOOKUP(A162,Item_Master!A:A,Item_Master!C:C)</f>
        <v>Hand Tools</v>
      </c>
      <c r="D162" s="0" t="n">
        <f aca="false">SUMIFS(Sales!D:D,Sales!C:C,A162)</f>
        <v>79</v>
      </c>
      <c r="E162" s="3" t="n">
        <f aca="false">_xlfn.XLOOKUP(A162,Item_Master!A:A,Item_Master!G:G)</f>
        <v>1910</v>
      </c>
      <c r="F162" s="3" t="n">
        <f aca="false">D162*E162</f>
        <v>150890</v>
      </c>
    </row>
    <row r="163" customFormat="false" ht="15" hidden="false" customHeight="false" outlineLevel="0" collapsed="false">
      <c r="A163" s="0" t="s">
        <v>376</v>
      </c>
      <c r="B163" s="0" t="str">
        <f aca="false">_xlfn.XLOOKUP(A163,Item_Master!A:A,Item_Master!B:B)</f>
        <v>TVS Pliers Combination</v>
      </c>
      <c r="C163" s="0" t="str">
        <f aca="false">_xlfn.XLOOKUP(A163,Item_Master!A:A,Item_Master!C:C)</f>
        <v>Hand Tools</v>
      </c>
      <c r="D163" s="0" t="n">
        <f aca="false">SUMIFS(Sales!D:D,Sales!C:C,A163)</f>
        <v>54</v>
      </c>
      <c r="E163" s="3" t="n">
        <f aca="false">_xlfn.XLOOKUP(A163,Item_Master!A:A,Item_Master!G:G)</f>
        <v>1390</v>
      </c>
      <c r="F163" s="3" t="n">
        <f aca="false">D163*E163</f>
        <v>75060</v>
      </c>
    </row>
    <row r="164" customFormat="false" ht="15" hidden="false" customHeight="false" outlineLevel="0" collapsed="false">
      <c r="A164" s="0" t="s">
        <v>378</v>
      </c>
      <c r="B164" s="0" t="str">
        <f aca="false">_xlfn.XLOOKUP(A164,Item_Master!A:A,Item_Master!B:B)</f>
        <v>TVS Tape Measure 3m</v>
      </c>
      <c r="C164" s="0" t="str">
        <f aca="false">_xlfn.XLOOKUP(A164,Item_Master!A:A,Item_Master!C:C)</f>
        <v>Hand Tools</v>
      </c>
      <c r="D164" s="0" t="n">
        <f aca="false">SUMIFS(Sales!D:D,Sales!C:C,A164)</f>
        <v>443</v>
      </c>
      <c r="E164" s="3" t="n">
        <f aca="false">_xlfn.XLOOKUP(A164,Item_Master!A:A,Item_Master!G:G)</f>
        <v>1820</v>
      </c>
      <c r="F164" s="3" t="n">
        <f aca="false">D164*E164</f>
        <v>806260</v>
      </c>
    </row>
    <row r="165" customFormat="false" ht="15" hidden="false" customHeight="false" outlineLevel="0" collapsed="false">
      <c r="A165" s="0" t="s">
        <v>380</v>
      </c>
      <c r="B165" s="0" t="str">
        <f aca="false">_xlfn.XLOOKUP(A165,Item_Master!A:A,Item_Master!B:B)</f>
        <v>Birla Wall Primer 1L</v>
      </c>
      <c r="C165" s="0" t="str">
        <f aca="false">_xlfn.XLOOKUP(A165,Item_Master!A:A,Item_Master!C:C)</f>
        <v>Paints &amp; Coatings</v>
      </c>
      <c r="D165" s="0" t="n">
        <f aca="false">SUMIFS(Sales!D:D,Sales!C:C,A165)</f>
        <v>68</v>
      </c>
      <c r="E165" s="3" t="n">
        <f aca="false">_xlfn.XLOOKUP(A165,Item_Master!A:A,Item_Master!G:G)</f>
        <v>3170</v>
      </c>
      <c r="F165" s="3" t="n">
        <f aca="false">D165*E165</f>
        <v>215560</v>
      </c>
    </row>
    <row r="166" customFormat="false" ht="15" hidden="false" customHeight="false" outlineLevel="0" collapsed="false">
      <c r="A166" s="0" t="s">
        <v>382</v>
      </c>
      <c r="B166" s="0" t="str">
        <f aca="false">_xlfn.XLOOKUP(A166,Item_Master!A:A,Item_Master!B:B)</f>
        <v>Pye Pipe Wrench 14 inch</v>
      </c>
      <c r="C166" s="0" t="str">
        <f aca="false">_xlfn.XLOOKUP(A166,Item_Master!A:A,Item_Master!C:C)</f>
        <v>Hand Tools</v>
      </c>
      <c r="D166" s="0" t="n">
        <f aca="false">SUMIFS(Sales!D:D,Sales!C:C,A166)</f>
        <v>147</v>
      </c>
      <c r="E166" s="3" t="n">
        <f aca="false">_xlfn.XLOOKUP(A166,Item_Master!A:A,Item_Master!G:G)</f>
        <v>2060</v>
      </c>
      <c r="F166" s="3" t="n">
        <f aca="false">D166*E166</f>
        <v>302820</v>
      </c>
    </row>
    <row r="167" customFormat="false" ht="15" hidden="false" customHeight="false" outlineLevel="0" collapsed="false">
      <c r="A167" s="0" t="s">
        <v>384</v>
      </c>
      <c r="B167" s="0" t="str">
        <f aca="false">_xlfn.XLOOKUP(A167,Item_Master!A:A,Item_Master!B:B)</f>
        <v>Crompton Exhaust Fan 8 inch</v>
      </c>
      <c r="C167" s="0" t="str">
        <f aca="false">_xlfn.XLOOKUP(A167,Item_Master!A:A,Item_Master!C:C)</f>
        <v>Electrical</v>
      </c>
      <c r="D167" s="0" t="n">
        <f aca="false">SUMIFS(Sales!D:D,Sales!C:C,A167)</f>
        <v>177</v>
      </c>
      <c r="E167" s="3" t="n">
        <f aca="false">_xlfn.XLOOKUP(A167,Item_Master!A:A,Item_Master!G:G)</f>
        <v>1650</v>
      </c>
      <c r="F167" s="3" t="n">
        <f aca="false">D167*E167</f>
        <v>292050</v>
      </c>
    </row>
    <row r="168" customFormat="false" ht="15" hidden="false" customHeight="false" outlineLevel="0" collapsed="false">
      <c r="A168" s="0" t="s">
        <v>386</v>
      </c>
      <c r="B168" s="0" t="str">
        <f aca="false">_xlfn.XLOOKUP(A168,Item_Master!A:A,Item_Master!B:B)</f>
        <v>Crompton Exhaust Fan 8 inch</v>
      </c>
      <c r="C168" s="0" t="str">
        <f aca="false">_xlfn.XLOOKUP(A168,Item_Master!A:A,Item_Master!C:C)</f>
        <v>Electrical</v>
      </c>
      <c r="D168" s="0" t="n">
        <f aca="false">SUMIFS(Sales!D:D,Sales!C:C,A168)</f>
        <v>92</v>
      </c>
      <c r="E168" s="3" t="n">
        <f aca="false">_xlfn.XLOOKUP(A168,Item_Master!A:A,Item_Master!G:G)</f>
        <v>2740</v>
      </c>
      <c r="F168" s="3" t="n">
        <f aca="false">D168*E168</f>
        <v>252080</v>
      </c>
    </row>
    <row r="169" customFormat="false" ht="15" hidden="false" customHeight="false" outlineLevel="0" collapsed="false">
      <c r="A169" s="0" t="s">
        <v>387</v>
      </c>
      <c r="B169" s="0" t="str">
        <f aca="false">_xlfn.XLOOKUP(A169,Item_Master!A:A,Item_Master!B:B)</f>
        <v>Yale Cabinet Knob Steel</v>
      </c>
      <c r="C169" s="0" t="str">
        <f aca="false">_xlfn.XLOOKUP(A169,Item_Master!A:A,Item_Master!C:C)</f>
        <v>Hardware</v>
      </c>
      <c r="D169" s="0" t="n">
        <f aca="false">SUMIFS(Sales!D:D,Sales!C:C,A169)</f>
        <v>31</v>
      </c>
      <c r="E169" s="3" t="n">
        <f aca="false">_xlfn.XLOOKUP(A169,Item_Master!A:A,Item_Master!G:G)</f>
        <v>1070</v>
      </c>
      <c r="F169" s="3" t="n">
        <f aca="false">D169*E169</f>
        <v>33170</v>
      </c>
    </row>
    <row r="170" customFormat="false" ht="15" hidden="false" customHeight="false" outlineLevel="0" collapsed="false">
      <c r="A170" s="0" t="s">
        <v>389</v>
      </c>
      <c r="B170" s="0" t="str">
        <f aca="false">_xlfn.XLOOKUP(A170,Item_Master!A:A,Item_Master!B:B)</f>
        <v>Astral Ball Valve 1 inch</v>
      </c>
      <c r="C170" s="0" t="str">
        <f aca="false">_xlfn.XLOOKUP(A170,Item_Master!A:A,Item_Master!C:C)</f>
        <v>Plumbing</v>
      </c>
      <c r="D170" s="0" t="n">
        <f aca="false">SUMIFS(Sales!D:D,Sales!C:C,A170)</f>
        <v>110</v>
      </c>
      <c r="E170" s="3" t="n">
        <f aca="false">_xlfn.XLOOKUP(A170,Item_Master!A:A,Item_Master!G:G)</f>
        <v>1970</v>
      </c>
      <c r="F170" s="3" t="n">
        <f aca="false">D170*E170</f>
        <v>216700</v>
      </c>
    </row>
    <row r="171" customFormat="false" ht="15" hidden="false" customHeight="false" outlineLevel="0" collapsed="false">
      <c r="A171" s="0" t="s">
        <v>391</v>
      </c>
      <c r="B171" s="0" t="str">
        <f aca="false">_xlfn.XLOOKUP(A171,Item_Master!A:A,Item_Master!B:B)</f>
        <v>Hettich Door Stopper Magnetic</v>
      </c>
      <c r="C171" s="0" t="str">
        <f aca="false">_xlfn.XLOOKUP(A171,Item_Master!A:A,Item_Master!C:C)</f>
        <v>Hardware</v>
      </c>
      <c r="D171" s="0" t="n">
        <f aca="false">SUMIFS(Sales!D:D,Sales!C:C,A171)</f>
        <v>179</v>
      </c>
      <c r="E171" s="3" t="n">
        <f aca="false">_xlfn.XLOOKUP(A171,Item_Master!A:A,Item_Master!G:G)</f>
        <v>1390</v>
      </c>
      <c r="F171" s="3" t="n">
        <f aca="false">D171*E171</f>
        <v>248810</v>
      </c>
    </row>
    <row r="172" customFormat="false" ht="15" hidden="false" customHeight="false" outlineLevel="0" collapsed="false">
      <c r="A172" s="0" t="s">
        <v>392</v>
      </c>
      <c r="B172" s="0" t="str">
        <f aca="false">_xlfn.XLOOKUP(A172,Item_Master!A:A,Item_Master!B:B)</f>
        <v>GKW Anchor Bolts M10</v>
      </c>
      <c r="C172" s="0" t="str">
        <f aca="false">_xlfn.XLOOKUP(A172,Item_Master!A:A,Item_Master!C:C)</f>
        <v>Fasteners</v>
      </c>
      <c r="D172" s="0" t="n">
        <f aca="false">SUMIFS(Sales!D:D,Sales!C:C,A172)</f>
        <v>63</v>
      </c>
      <c r="E172" s="3" t="n">
        <f aca="false">_xlfn.XLOOKUP(A172,Item_Master!A:A,Item_Master!G:G)</f>
        <v>630</v>
      </c>
      <c r="F172" s="3" t="n">
        <f aca="false">D172*E172</f>
        <v>39690</v>
      </c>
    </row>
    <row r="173" customFormat="false" ht="15" hidden="false" customHeight="false" outlineLevel="0" collapsed="false">
      <c r="A173" s="0" t="s">
        <v>393</v>
      </c>
      <c r="B173" s="0" t="str">
        <f aca="false">_xlfn.XLOOKUP(A173,Item_Master!A:A,Item_Master!B:B)</f>
        <v>Birla Wood Stain 1L</v>
      </c>
      <c r="C173" s="0" t="str">
        <f aca="false">_xlfn.XLOOKUP(A173,Item_Master!A:A,Item_Master!C:C)</f>
        <v>Paints &amp; Coatings</v>
      </c>
      <c r="D173" s="0" t="n">
        <f aca="false">SUMIFS(Sales!D:D,Sales!C:C,A173)</f>
        <v>54</v>
      </c>
      <c r="E173" s="3" t="n">
        <f aca="false">_xlfn.XLOOKUP(A173,Item_Master!A:A,Item_Master!G:G)</f>
        <v>2570</v>
      </c>
      <c r="F173" s="3" t="n">
        <f aca="false">D173*E173</f>
        <v>138780</v>
      </c>
    </row>
    <row r="174" customFormat="false" ht="15" hidden="false" customHeight="false" outlineLevel="0" collapsed="false">
      <c r="A174" s="0" t="s">
        <v>394</v>
      </c>
      <c r="B174" s="0" t="str">
        <f aca="false">_xlfn.XLOOKUP(A174,Item_Master!A:A,Item_Master!B:B)</f>
        <v>Ashirvad Bib Tap Standard</v>
      </c>
      <c r="C174" s="0" t="str">
        <f aca="false">_xlfn.XLOOKUP(A174,Item_Master!A:A,Item_Master!C:C)</f>
        <v>Plumbing</v>
      </c>
      <c r="D174" s="0" t="n">
        <f aca="false">SUMIFS(Sales!D:D,Sales!C:C,A174)</f>
        <v>108</v>
      </c>
      <c r="E174" s="3" t="n">
        <f aca="false">_xlfn.XLOOKUP(A174,Item_Master!A:A,Item_Master!G:G)</f>
        <v>1060</v>
      </c>
      <c r="F174" s="3" t="n">
        <f aca="false">D174*E174</f>
        <v>114480</v>
      </c>
    </row>
    <row r="175" customFormat="false" ht="15" hidden="false" customHeight="false" outlineLevel="0" collapsed="false">
      <c r="A175" s="0" t="s">
        <v>396</v>
      </c>
      <c r="B175" s="0" t="str">
        <f aca="false">_xlfn.XLOOKUP(A175,Item_Master!A:A,Item_Master!B:B)</f>
        <v>Honeywell First Aid Kit Industrial</v>
      </c>
      <c r="C175" s="0" t="str">
        <f aca="false">_xlfn.XLOOKUP(A175,Item_Master!A:A,Item_Master!C:C)</f>
        <v>Safety Gear</v>
      </c>
      <c r="D175" s="0" t="n">
        <f aca="false">SUMIFS(Sales!D:D,Sales!C:C,A175)</f>
        <v>61</v>
      </c>
      <c r="E175" s="3" t="n">
        <f aca="false">_xlfn.XLOOKUP(A175,Item_Master!A:A,Item_Master!G:G)</f>
        <v>2640</v>
      </c>
      <c r="F175" s="3" t="n">
        <f aca="false">D175*E175</f>
        <v>161040</v>
      </c>
    </row>
    <row r="176" customFormat="false" ht="15" hidden="false" customHeight="false" outlineLevel="0" collapsed="false">
      <c r="A176" s="0" t="s">
        <v>398</v>
      </c>
      <c r="B176" s="0" t="str">
        <f aca="false">_xlfn.XLOOKUP(A176,Item_Master!A:A,Item_Master!B:B)</f>
        <v>GKW Machine Screws M4</v>
      </c>
      <c r="C176" s="0" t="str">
        <f aca="false">_xlfn.XLOOKUP(A176,Item_Master!A:A,Item_Master!C:C)</f>
        <v>Fasteners</v>
      </c>
      <c r="D176" s="0" t="n">
        <f aca="false">SUMIFS(Sales!D:D,Sales!C:C,A176)</f>
        <v>96</v>
      </c>
      <c r="E176" s="3" t="n">
        <f aca="false">_xlfn.XLOOKUP(A176,Item_Master!A:A,Item_Master!G:G)</f>
        <v>310</v>
      </c>
      <c r="F176" s="3" t="n">
        <f aca="false">D176*E176</f>
        <v>29760</v>
      </c>
    </row>
    <row r="177" customFormat="false" ht="15" hidden="false" customHeight="false" outlineLevel="0" collapsed="false">
      <c r="A177" s="0" t="s">
        <v>399</v>
      </c>
      <c r="B177" s="0" t="str">
        <f aca="false">_xlfn.XLOOKUP(A177,Item_Master!A:A,Item_Master!B:B)</f>
        <v>Stanley Rotary Hammer SDS Max</v>
      </c>
      <c r="C177" s="0" t="str">
        <f aca="false">_xlfn.XLOOKUP(A177,Item_Master!A:A,Item_Master!C:C)</f>
        <v>Power Tools</v>
      </c>
      <c r="D177" s="0" t="n">
        <f aca="false">SUMIFS(Sales!D:D,Sales!C:C,A177)</f>
        <v>66</v>
      </c>
      <c r="E177" s="3" t="n">
        <f aca="false">_xlfn.XLOOKUP(A177,Item_Master!A:A,Item_Master!G:G)</f>
        <v>12110</v>
      </c>
      <c r="F177" s="3" t="n">
        <f aca="false">D177*E177</f>
        <v>799260</v>
      </c>
    </row>
    <row r="178" customFormat="false" ht="15" hidden="false" customHeight="false" outlineLevel="0" collapsed="false">
      <c r="A178" s="0" t="s">
        <v>401</v>
      </c>
      <c r="B178" s="0" t="str">
        <f aca="false">_xlfn.XLOOKUP(A178,Item_Master!A:A,Item_Master!B:B)</f>
        <v>Black &amp; Decker Angle Grinder 9 inch</v>
      </c>
      <c r="C178" s="0" t="str">
        <f aca="false">_xlfn.XLOOKUP(A178,Item_Master!A:A,Item_Master!C:C)</f>
        <v>Power Tools</v>
      </c>
      <c r="D178" s="0" t="n">
        <f aca="false">SUMIFS(Sales!D:D,Sales!C:C,A178)</f>
        <v>68</v>
      </c>
      <c r="E178" s="3" t="n">
        <f aca="false">_xlfn.XLOOKUP(A178,Item_Master!A:A,Item_Master!G:G)</f>
        <v>20110</v>
      </c>
      <c r="F178" s="3" t="n">
        <f aca="false">D178*E178</f>
        <v>1367480</v>
      </c>
    </row>
    <row r="179" customFormat="false" ht="15" hidden="false" customHeight="false" outlineLevel="0" collapsed="false">
      <c r="A179" s="0" t="s">
        <v>403</v>
      </c>
      <c r="B179" s="0" t="str">
        <f aca="false">_xlfn.XLOOKUP(A179,Item_Master!A:A,Item_Master!B:B)</f>
        <v>Legrand MCB 32A</v>
      </c>
      <c r="C179" s="0" t="str">
        <f aca="false">_xlfn.XLOOKUP(A179,Item_Master!A:A,Item_Master!C:C)</f>
        <v>Electrical</v>
      </c>
      <c r="D179" s="0" t="n">
        <f aca="false">SUMIFS(Sales!D:D,Sales!C:C,A179)</f>
        <v>56</v>
      </c>
      <c r="E179" s="3" t="n">
        <f aca="false">_xlfn.XLOOKUP(A179,Item_Master!A:A,Item_Master!G:G)</f>
        <v>3910</v>
      </c>
      <c r="F179" s="3" t="n">
        <f aca="false">D179*E179</f>
        <v>218960</v>
      </c>
    </row>
    <row r="180" customFormat="false" ht="15" hidden="false" customHeight="false" outlineLevel="0" collapsed="false">
      <c r="A180" s="0" t="s">
        <v>404</v>
      </c>
      <c r="B180" s="0" t="str">
        <f aca="false">_xlfn.XLOOKUP(A180,Item_Master!A:A,Item_Master!B:B)</f>
        <v>Araldite Insulation Foam 750ml</v>
      </c>
      <c r="C180" s="0" t="str">
        <f aca="false">_xlfn.XLOOKUP(A180,Item_Master!A:A,Item_Master!C:C)</f>
        <v>Adhesives &amp; Sealants</v>
      </c>
      <c r="D180" s="0" t="n">
        <f aca="false">SUMIFS(Sales!D:D,Sales!C:C,A180)</f>
        <v>203</v>
      </c>
      <c r="E180" s="3" t="n">
        <f aca="false">_xlfn.XLOOKUP(A180,Item_Master!A:A,Item_Master!G:G)</f>
        <v>1760</v>
      </c>
      <c r="F180" s="3" t="n">
        <f aca="false">D180*E180</f>
        <v>357280</v>
      </c>
    </row>
    <row r="181" customFormat="false" ht="15" hidden="false" customHeight="false" outlineLevel="0" collapsed="false">
      <c r="A181" s="0" t="s">
        <v>406</v>
      </c>
      <c r="B181" s="0" t="str">
        <f aca="false">_xlfn.XLOOKUP(A181,Item_Master!A:A,Item_Master!B:B)</f>
        <v>Taparia Spirit Level 24 inch</v>
      </c>
      <c r="C181" s="0" t="str">
        <f aca="false">_xlfn.XLOOKUP(A181,Item_Master!A:A,Item_Master!C:C)</f>
        <v>Hand Tools</v>
      </c>
      <c r="D181" s="0" t="n">
        <f aca="false">SUMIFS(Sales!D:D,Sales!C:C,A181)</f>
        <v>29</v>
      </c>
      <c r="E181" s="3" t="n">
        <f aca="false">_xlfn.XLOOKUP(A181,Item_Master!A:A,Item_Master!G:G)</f>
        <v>1420</v>
      </c>
      <c r="F181" s="3" t="n">
        <f aca="false">D181*E181</f>
        <v>41180</v>
      </c>
    </row>
    <row r="182" customFormat="false" ht="15" hidden="false" customHeight="false" outlineLevel="0" collapsed="false">
      <c r="A182" s="0" t="s">
        <v>407</v>
      </c>
      <c r="B182" s="0" t="str">
        <f aca="false">_xlfn.XLOOKUP(A182,Item_Master!A:A,Item_Master!B:B)</f>
        <v>Anchor Hex Bolts M12</v>
      </c>
      <c r="C182" s="0" t="str">
        <f aca="false">_xlfn.XLOOKUP(A182,Item_Master!A:A,Item_Master!C:C)</f>
        <v>Fasteners</v>
      </c>
      <c r="D182" s="0" t="n">
        <f aca="false">SUMIFS(Sales!D:D,Sales!C:C,A182)</f>
        <v>133</v>
      </c>
      <c r="E182" s="3" t="n">
        <f aca="false">_xlfn.XLOOKUP(A182,Item_Master!A:A,Item_Master!G:G)</f>
        <v>210</v>
      </c>
      <c r="F182" s="3" t="n">
        <f aca="false">D182*E182</f>
        <v>27930</v>
      </c>
    </row>
    <row r="183" customFormat="false" ht="15" hidden="false" customHeight="false" outlineLevel="0" collapsed="false">
      <c r="A183" s="0" t="s">
        <v>409</v>
      </c>
      <c r="B183" s="0" t="str">
        <f aca="false">_xlfn.XLOOKUP(A183,Item_Master!A:A,Item_Master!B:B)</f>
        <v>Polycab LED Bulb 15W</v>
      </c>
      <c r="C183" s="0" t="str">
        <f aca="false">_xlfn.XLOOKUP(A183,Item_Master!A:A,Item_Master!C:C)</f>
        <v>Electrical</v>
      </c>
      <c r="D183" s="0" t="n">
        <f aca="false">SUMIFS(Sales!D:D,Sales!C:C,A183)</f>
        <v>51</v>
      </c>
      <c r="E183" s="3" t="n">
        <f aca="false">_xlfn.XLOOKUP(A183,Item_Master!A:A,Item_Master!G:G)</f>
        <v>4410</v>
      </c>
      <c r="F183" s="3" t="n">
        <f aca="false">D183*E183</f>
        <v>224910</v>
      </c>
    </row>
    <row r="184" customFormat="false" ht="15" hidden="false" customHeight="false" outlineLevel="0" collapsed="false">
      <c r="A184" s="0" t="s">
        <v>411</v>
      </c>
      <c r="B184" s="0" t="str">
        <f aca="false">_xlfn.XLOOKUP(A184,Item_Master!A:A,Item_Master!B:B)</f>
        <v>Black &amp; Decker Circular Saw 8 inch</v>
      </c>
      <c r="C184" s="0" t="str">
        <f aca="false">_xlfn.XLOOKUP(A184,Item_Master!A:A,Item_Master!C:C)</f>
        <v>Power Tools</v>
      </c>
      <c r="D184" s="0" t="n">
        <f aca="false">SUMIFS(Sales!D:D,Sales!C:C,A184)</f>
        <v>111</v>
      </c>
      <c r="E184" s="3" t="n">
        <f aca="false">_xlfn.XLOOKUP(A184,Item_Master!A:A,Item_Master!G:G)</f>
        <v>13690</v>
      </c>
      <c r="F184" s="3" t="n">
        <f aca="false">D184*E184</f>
        <v>1519590</v>
      </c>
    </row>
    <row r="185" customFormat="false" ht="15" hidden="false" customHeight="false" outlineLevel="0" collapsed="false">
      <c r="A185" s="0" t="s">
        <v>413</v>
      </c>
      <c r="B185" s="0" t="str">
        <f aca="false">_xlfn.XLOOKUP(A185,Item_Master!A:A,Item_Master!B:B)</f>
        <v>Pye Adjustable Wrench 12 inch</v>
      </c>
      <c r="C185" s="0" t="str">
        <f aca="false">_xlfn.XLOOKUP(A185,Item_Master!A:A,Item_Master!C:C)</f>
        <v>Hand Tools</v>
      </c>
      <c r="D185" s="0" t="n">
        <f aca="false">SUMIFS(Sales!D:D,Sales!C:C,A185)</f>
        <v>151</v>
      </c>
      <c r="E185" s="3" t="n">
        <f aca="false">_xlfn.XLOOKUP(A185,Item_Master!A:A,Item_Master!G:G)</f>
        <v>1190</v>
      </c>
      <c r="F185" s="3" t="n">
        <f aca="false">D185*E185</f>
        <v>179690</v>
      </c>
    </row>
    <row r="186" customFormat="false" ht="15" hidden="false" customHeight="false" outlineLevel="0" collapsed="false">
      <c r="A186" s="0" t="s">
        <v>415</v>
      </c>
      <c r="B186" s="0" t="str">
        <f aca="false">_xlfn.XLOOKUP(A186,Item_Master!A:A,Item_Master!B:B)</f>
        <v>Supreme Shower Head Rainfall</v>
      </c>
      <c r="C186" s="0" t="str">
        <f aca="false">_xlfn.XLOOKUP(A186,Item_Master!A:A,Item_Master!C:C)</f>
        <v>Plumbing</v>
      </c>
      <c r="D186" s="0" t="n">
        <f aca="false">SUMIFS(Sales!D:D,Sales!C:C,A186)</f>
        <v>43</v>
      </c>
      <c r="E186" s="3" t="n">
        <f aca="false">_xlfn.XLOOKUP(A186,Item_Master!A:A,Item_Master!G:G)</f>
        <v>1330</v>
      </c>
      <c r="F186" s="3" t="n">
        <f aca="false">D186*E186</f>
        <v>57190</v>
      </c>
    </row>
    <row r="187" customFormat="false" ht="15" hidden="false" customHeight="false" outlineLevel="0" collapsed="false">
      <c r="A187" s="0" t="s">
        <v>416</v>
      </c>
      <c r="B187" s="0" t="str">
        <f aca="false">_xlfn.XLOOKUP(A187,Item_Master!A:A,Item_Master!B:B)</f>
        <v>Loctite Masking Tape 24mm</v>
      </c>
      <c r="C187" s="0" t="str">
        <f aca="false">_xlfn.XLOOKUP(A187,Item_Master!A:A,Item_Master!C:C)</f>
        <v>Adhesives &amp; Sealants</v>
      </c>
      <c r="D187" s="0" t="n">
        <f aca="false">SUMIFS(Sales!D:D,Sales!C:C,A187)</f>
        <v>130</v>
      </c>
      <c r="E187" s="3" t="n">
        <f aca="false">_xlfn.XLOOKUP(A187,Item_Master!A:A,Item_Master!G:G)</f>
        <v>1550</v>
      </c>
      <c r="F187" s="3" t="n">
        <f aca="false">D187*E187</f>
        <v>201500</v>
      </c>
    </row>
    <row r="188" customFormat="false" ht="15" hidden="false" customHeight="false" outlineLevel="0" collapsed="false">
      <c r="A188" s="0" t="s">
        <v>417</v>
      </c>
      <c r="B188" s="0" t="str">
        <f aca="false">_xlfn.XLOOKUP(A188,Item_Master!A:A,Item_Master!B:B)</f>
        <v>Crompton MCB 16A</v>
      </c>
      <c r="C188" s="0" t="str">
        <f aca="false">_xlfn.XLOOKUP(A188,Item_Master!A:A,Item_Master!C:C)</f>
        <v>Electrical</v>
      </c>
      <c r="D188" s="0" t="n">
        <f aca="false">SUMIFS(Sales!D:D,Sales!C:C,A188)</f>
        <v>57</v>
      </c>
      <c r="E188" s="3" t="n">
        <f aca="false">_xlfn.XLOOKUP(A188,Item_Master!A:A,Item_Master!G:G)</f>
        <v>2140</v>
      </c>
      <c r="F188" s="3" t="n">
        <f aca="false">D188*E188</f>
        <v>121980</v>
      </c>
    </row>
    <row r="189" customFormat="false" ht="15" hidden="false" customHeight="false" outlineLevel="0" collapsed="false">
      <c r="A189" s="0" t="s">
        <v>419</v>
      </c>
      <c r="B189" s="0" t="str">
        <f aca="false">_xlfn.XLOOKUP(A189,Item_Master!A:A,Item_Master!B:B)</f>
        <v>Finolex Towel Rod 24 inch</v>
      </c>
      <c r="C189" s="0" t="str">
        <f aca="false">_xlfn.XLOOKUP(A189,Item_Master!A:A,Item_Master!C:C)</f>
        <v>Plumbing</v>
      </c>
      <c r="D189" s="0" t="n">
        <f aca="false">SUMIFS(Sales!D:D,Sales!C:C,A189)</f>
        <v>118</v>
      </c>
      <c r="E189" s="3" t="n">
        <f aca="false">_xlfn.XLOOKUP(A189,Item_Master!A:A,Item_Master!G:G)</f>
        <v>2070</v>
      </c>
      <c r="F189" s="3" t="n">
        <f aca="false">D189*E189</f>
        <v>244260</v>
      </c>
    </row>
    <row r="190" customFormat="false" ht="15" hidden="false" customHeight="false" outlineLevel="0" collapsed="false">
      <c r="A190" s="0" t="s">
        <v>421</v>
      </c>
      <c r="B190" s="0" t="str">
        <f aca="false">_xlfn.XLOOKUP(A190,Item_Master!A:A,Item_Master!B:B)</f>
        <v>GKW Nuts M10</v>
      </c>
      <c r="C190" s="0" t="str">
        <f aca="false">_xlfn.XLOOKUP(A190,Item_Master!A:A,Item_Master!C:C)</f>
        <v>Fasteners</v>
      </c>
      <c r="D190" s="0" t="n">
        <f aca="false">SUMIFS(Sales!D:D,Sales!C:C,A190)</f>
        <v>27</v>
      </c>
      <c r="E190" s="3" t="n">
        <f aca="false">_xlfn.XLOOKUP(A190,Item_Master!A:A,Item_Master!G:G)</f>
        <v>170</v>
      </c>
      <c r="F190" s="3" t="n">
        <f aca="false">D190*E190</f>
        <v>4590</v>
      </c>
    </row>
    <row r="191" customFormat="false" ht="15" hidden="false" customHeight="false" outlineLevel="0" collapsed="false">
      <c r="A191" s="0" t="s">
        <v>422</v>
      </c>
      <c r="B191" s="0" t="str">
        <f aca="false">_xlfn.XLOOKUP(A191,Item_Master!A:A,Item_Master!B:B)</f>
        <v>DeWalt Rotary Hammer SDS Max</v>
      </c>
      <c r="C191" s="0" t="str">
        <f aca="false">_xlfn.XLOOKUP(A191,Item_Master!A:A,Item_Master!C:C)</f>
        <v>Power Tools</v>
      </c>
      <c r="D191" s="0" t="n">
        <f aca="false">SUMIFS(Sales!D:D,Sales!C:C,A191)</f>
        <v>67</v>
      </c>
      <c r="E191" s="3" t="n">
        <f aca="false">_xlfn.XLOOKUP(A191,Item_Master!A:A,Item_Master!G:G)</f>
        <v>24150</v>
      </c>
      <c r="F191" s="3" t="n">
        <f aca="false">D191*E191</f>
        <v>1618050</v>
      </c>
    </row>
    <row r="192" customFormat="false" ht="15" hidden="false" customHeight="false" outlineLevel="0" collapsed="false">
      <c r="A192" s="0" t="s">
        <v>424</v>
      </c>
      <c r="B192" s="0" t="str">
        <f aca="false">_xlfn.XLOOKUP(A192,Item_Master!A:A,Item_Master!B:B)</f>
        <v>Stanley Pipe Wrench 10 inch</v>
      </c>
      <c r="C192" s="0" t="str">
        <f aca="false">_xlfn.XLOOKUP(A192,Item_Master!A:A,Item_Master!C:C)</f>
        <v>Hand Tools</v>
      </c>
      <c r="D192" s="0" t="n">
        <f aca="false">SUMIFS(Sales!D:D,Sales!C:C,A192)</f>
        <v>412</v>
      </c>
      <c r="E192" s="3" t="n">
        <f aca="false">_xlfn.XLOOKUP(A192,Item_Master!A:A,Item_Master!G:G)</f>
        <v>2460</v>
      </c>
      <c r="F192" s="3" t="n">
        <f aca="false">D192*E192</f>
        <v>1013520</v>
      </c>
    </row>
    <row r="193" customFormat="false" ht="15" hidden="false" customHeight="false" outlineLevel="0" collapsed="false">
      <c r="A193" s="0" t="s">
        <v>426</v>
      </c>
      <c r="B193" s="0" t="str">
        <f aca="false">_xlfn.XLOOKUP(A193,Item_Master!A:A,Item_Master!B:B)</f>
        <v>Nerolac Wood Stain 1L</v>
      </c>
      <c r="C193" s="0" t="str">
        <f aca="false">_xlfn.XLOOKUP(A193,Item_Master!A:A,Item_Master!C:C)</f>
        <v>Paints &amp; Coatings</v>
      </c>
      <c r="D193" s="0" t="n">
        <f aca="false">SUMIFS(Sales!D:D,Sales!C:C,A193)</f>
        <v>108</v>
      </c>
      <c r="E193" s="3" t="n">
        <f aca="false">_xlfn.XLOOKUP(A193,Item_Master!A:A,Item_Master!G:G)</f>
        <v>2670</v>
      </c>
      <c r="F193" s="3" t="n">
        <f aca="false">D193*E193</f>
        <v>288360</v>
      </c>
    </row>
    <row r="194" customFormat="false" ht="15" hidden="false" customHeight="false" outlineLevel="0" collapsed="false">
      <c r="A194" s="0" t="s">
        <v>428</v>
      </c>
      <c r="B194" s="0" t="str">
        <f aca="false">_xlfn.XLOOKUP(A194,Item_Master!A:A,Item_Master!B:B)</f>
        <v>Hafele Door Stopper Floor</v>
      </c>
      <c r="C194" s="0" t="str">
        <f aca="false">_xlfn.XLOOKUP(A194,Item_Master!A:A,Item_Master!C:C)</f>
        <v>Hardware</v>
      </c>
      <c r="D194" s="0" t="n">
        <f aca="false">SUMIFS(Sales!D:D,Sales!C:C,A194)</f>
        <v>353</v>
      </c>
      <c r="E194" s="3" t="n">
        <f aca="false">_xlfn.XLOOKUP(A194,Item_Master!A:A,Item_Master!G:G)</f>
        <v>1120</v>
      </c>
      <c r="F194" s="3" t="n">
        <f aca="false">D194*E194</f>
        <v>395360</v>
      </c>
    </row>
    <row r="195" customFormat="false" ht="15" hidden="false" customHeight="false" outlineLevel="0" collapsed="false">
      <c r="A195" s="0" t="s">
        <v>430</v>
      </c>
      <c r="B195" s="0" t="str">
        <f aca="false">_xlfn.XLOOKUP(A195,Item_Master!A:A,Item_Master!B:B)</f>
        <v>Yale Door Eye Standard</v>
      </c>
      <c r="C195" s="0" t="str">
        <f aca="false">_xlfn.XLOOKUP(A195,Item_Master!A:A,Item_Master!C:C)</f>
        <v>Hardware</v>
      </c>
      <c r="D195" s="0" t="n">
        <f aca="false">SUMIFS(Sales!D:D,Sales!C:C,A195)</f>
        <v>75</v>
      </c>
      <c r="E195" s="3" t="n">
        <f aca="false">_xlfn.XLOOKUP(A195,Item_Master!A:A,Item_Master!G:G)</f>
        <v>2330</v>
      </c>
      <c r="F195" s="3" t="n">
        <f aca="false">D195*E195</f>
        <v>174750</v>
      </c>
    </row>
    <row r="196" customFormat="false" ht="15" hidden="false" customHeight="false" outlineLevel="0" collapsed="false">
      <c r="A196" s="0" t="s">
        <v>432</v>
      </c>
      <c r="B196" s="0" t="str">
        <f aca="false">_xlfn.XLOOKUP(A196,Item_Master!A:A,Item_Master!B:B)</f>
        <v>Crompton Ceiling Fan 52 inch</v>
      </c>
      <c r="C196" s="0" t="str">
        <f aca="false">_xlfn.XLOOKUP(A196,Item_Master!A:A,Item_Master!C:C)</f>
        <v>Electrical</v>
      </c>
      <c r="D196" s="0" t="n">
        <f aca="false">SUMIFS(Sales!D:D,Sales!C:C,A196)</f>
        <v>48</v>
      </c>
      <c r="E196" s="3" t="n">
        <f aca="false">_xlfn.XLOOKUP(A196,Item_Master!A:A,Item_Master!G:G)</f>
        <v>3770</v>
      </c>
      <c r="F196" s="3" t="n">
        <f aca="false">D196*E196</f>
        <v>180960</v>
      </c>
    </row>
    <row r="197" customFormat="false" ht="15" hidden="false" customHeight="false" outlineLevel="0" collapsed="false">
      <c r="A197" s="0" t="s">
        <v>434</v>
      </c>
      <c r="B197" s="0" t="str">
        <f aca="false">_xlfn.XLOOKUP(A197,Item_Master!A:A,Item_Master!B:B)</f>
        <v>Apex Iron Nails 3 inch</v>
      </c>
      <c r="C197" s="0" t="str">
        <f aca="false">_xlfn.XLOOKUP(A197,Item_Master!A:A,Item_Master!C:C)</f>
        <v>Fasteners</v>
      </c>
      <c r="D197" s="0" t="n">
        <f aca="false">SUMIFS(Sales!D:D,Sales!C:C,A197)</f>
        <v>28</v>
      </c>
      <c r="E197" s="3" t="n">
        <f aca="false">_xlfn.XLOOKUP(A197,Item_Master!A:A,Item_Master!G:G)</f>
        <v>370</v>
      </c>
      <c r="F197" s="3" t="n">
        <f aca="false">D197*E197</f>
        <v>10360</v>
      </c>
    </row>
    <row r="198" customFormat="false" ht="15" hidden="false" customHeight="false" outlineLevel="0" collapsed="false">
      <c r="A198" s="0" t="s">
        <v>436</v>
      </c>
      <c r="B198" s="0" t="str">
        <f aca="false">_xlfn.XLOOKUP(A198,Item_Master!A:A,Item_Master!B:B)</f>
        <v>Taparia Screwdriver Set 6 pc</v>
      </c>
      <c r="C198" s="0" t="str">
        <f aca="false">_xlfn.XLOOKUP(A198,Item_Master!A:A,Item_Master!C:C)</f>
        <v>Hand Tools</v>
      </c>
      <c r="D198" s="0" t="n">
        <f aca="false">SUMIFS(Sales!D:D,Sales!C:C,A198)</f>
        <v>327</v>
      </c>
      <c r="E198" s="3" t="n">
        <f aca="false">_xlfn.XLOOKUP(A198,Item_Master!A:A,Item_Master!G:G)</f>
        <v>2730</v>
      </c>
      <c r="F198" s="3" t="n">
        <f aca="false">D198*E198</f>
        <v>892710</v>
      </c>
    </row>
    <row r="199" customFormat="false" ht="15" hidden="false" customHeight="false" outlineLevel="0" collapsed="false">
      <c r="A199" s="0" t="s">
        <v>437</v>
      </c>
      <c r="B199" s="0" t="str">
        <f aca="false">_xlfn.XLOOKUP(A199,Item_Master!A:A,Item_Master!B:B)</f>
        <v>Nerolac Distemper 5kg</v>
      </c>
      <c r="C199" s="0" t="str">
        <f aca="false">_xlfn.XLOOKUP(A199,Item_Master!A:A,Item_Master!C:C)</f>
        <v>Paints &amp; Coatings</v>
      </c>
      <c r="D199" s="0" t="n">
        <f aca="false">SUMIFS(Sales!D:D,Sales!C:C,A199)</f>
        <v>41</v>
      </c>
      <c r="E199" s="3" t="n">
        <f aca="false">_xlfn.XLOOKUP(A199,Item_Master!A:A,Item_Master!G:G)</f>
        <v>2710</v>
      </c>
      <c r="F199" s="3" t="n">
        <f aca="false">D199*E199</f>
        <v>111110</v>
      </c>
    </row>
    <row r="200" customFormat="false" ht="15" hidden="false" customHeight="false" outlineLevel="0" collapsed="false">
      <c r="A200" s="0" t="s">
        <v>438</v>
      </c>
      <c r="B200" s="0" t="str">
        <f aca="false">_xlfn.XLOOKUP(A200,Item_Master!A:A,Item_Master!B:B)</f>
        <v>GKW Anchor Bolts M8</v>
      </c>
      <c r="C200" s="0" t="str">
        <f aca="false">_xlfn.XLOOKUP(A200,Item_Master!A:A,Item_Master!C:C)</f>
        <v>Fasteners</v>
      </c>
      <c r="D200" s="0" t="n">
        <f aca="false">SUMIFS(Sales!D:D,Sales!C:C,A200)</f>
        <v>142</v>
      </c>
      <c r="E200" s="3" t="n">
        <f aca="false">_xlfn.XLOOKUP(A200,Item_Master!A:A,Item_Master!G:G)</f>
        <v>200</v>
      </c>
      <c r="F200" s="3" t="n">
        <f aca="false">D200*E200</f>
        <v>28400</v>
      </c>
    </row>
    <row r="201" customFormat="false" ht="15" hidden="false" customHeight="false" outlineLevel="0" collapsed="false">
      <c r="A201" s="0" t="s">
        <v>440</v>
      </c>
      <c r="B201" s="0" t="str">
        <f aca="false">_xlfn.XLOOKUP(A201,Item_Master!A:A,Item_Master!B:B)</f>
        <v>M-Seal Silicone Sealant 280ml</v>
      </c>
      <c r="C201" s="0" t="str">
        <f aca="false">_xlfn.XLOOKUP(A201,Item_Master!A:A,Item_Master!C:C)</f>
        <v>Adhesives &amp; Sealants</v>
      </c>
      <c r="D201" s="0" t="n">
        <f aca="false">SUMIFS(Sales!D:D,Sales!C:C,A201)</f>
        <v>20</v>
      </c>
      <c r="E201" s="3" t="n">
        <f aca="false">_xlfn.XLOOKUP(A201,Item_Master!A:A,Item_Master!G:G)</f>
        <v>1270</v>
      </c>
      <c r="F201" s="3" t="n">
        <f aca="false">D201*E201</f>
        <v>25400</v>
      </c>
    </row>
    <row r="202" customFormat="false" ht="15" hidden="false" customHeight="false" outlineLevel="0" collapsed="false">
      <c r="A202" s="0" t="s">
        <v>443</v>
      </c>
      <c r="B202" s="0" t="str">
        <f aca="false">_xlfn.XLOOKUP(A202,Item_Master!A:A,Item_Master!B:B)</f>
        <v>Legrand MCB 32A</v>
      </c>
      <c r="C202" s="0" t="str">
        <f aca="false">_xlfn.XLOOKUP(A202,Item_Master!A:A,Item_Master!C:C)</f>
        <v>Electrical</v>
      </c>
      <c r="D202" s="0" t="n">
        <f aca="false">SUMIFS(Sales!D:D,Sales!C:C,A202)</f>
        <v>74</v>
      </c>
      <c r="E202" s="3" t="n">
        <f aca="false">_xlfn.XLOOKUP(A202,Item_Master!A:A,Item_Master!G:G)</f>
        <v>1680</v>
      </c>
      <c r="F202" s="3" t="n">
        <f aca="false">D202*E202</f>
        <v>124320</v>
      </c>
    </row>
    <row r="203" customFormat="false" ht="15" hidden="false" customHeight="false" outlineLevel="0" collapsed="false">
      <c r="A203" s="0" t="s">
        <v>444</v>
      </c>
      <c r="B203" s="0" t="str">
        <f aca="false">_xlfn.XLOOKUP(A203,Item_Master!A:A,Item_Master!B:B)</f>
        <v>Prince CPVC Pipe 3/4 inch</v>
      </c>
      <c r="C203" s="0" t="str">
        <f aca="false">_xlfn.XLOOKUP(A203,Item_Master!A:A,Item_Master!C:C)</f>
        <v>Plumbing</v>
      </c>
      <c r="D203" s="0" t="n">
        <f aca="false">SUMIFS(Sales!D:D,Sales!C:C,A203)</f>
        <v>249</v>
      </c>
      <c r="E203" s="3" t="n">
        <f aca="false">_xlfn.XLOOKUP(A203,Item_Master!A:A,Item_Master!G:G)</f>
        <v>940</v>
      </c>
      <c r="F203" s="3" t="n">
        <f aca="false">D203*E203</f>
        <v>234060</v>
      </c>
    </row>
    <row r="204" customFormat="false" ht="15" hidden="false" customHeight="false" outlineLevel="0" collapsed="false">
      <c r="A204" s="0" t="s">
        <v>446</v>
      </c>
      <c r="B204" s="0" t="str">
        <f aca="false">_xlfn.XLOOKUP(A204,Item_Master!A:A,Item_Master!B:B)</f>
        <v>Pye Spirit Level 24 inch</v>
      </c>
      <c r="C204" s="0" t="str">
        <f aca="false">_xlfn.XLOOKUP(A204,Item_Master!A:A,Item_Master!C:C)</f>
        <v>Hand Tools</v>
      </c>
      <c r="D204" s="0" t="n">
        <f aca="false">SUMIFS(Sales!D:D,Sales!C:C,A204)</f>
        <v>167</v>
      </c>
      <c r="E204" s="3" t="n">
        <f aca="false">_xlfn.XLOOKUP(A204,Item_Master!A:A,Item_Master!G:G)</f>
        <v>1750</v>
      </c>
      <c r="F204" s="3" t="n">
        <f aca="false">D204*E204</f>
        <v>292250</v>
      </c>
    </row>
    <row r="205" customFormat="false" ht="15" hidden="false" customHeight="false" outlineLevel="0" collapsed="false">
      <c r="A205" s="0" t="s">
        <v>448</v>
      </c>
      <c r="B205" s="0" t="str">
        <f aca="false">_xlfn.XLOOKUP(A205,Item_Master!A:A,Item_Master!B:B)</f>
        <v>GKW Machine Screws M5</v>
      </c>
      <c r="C205" s="0" t="str">
        <f aca="false">_xlfn.XLOOKUP(A205,Item_Master!A:A,Item_Master!C:C)</f>
        <v>Fasteners</v>
      </c>
      <c r="D205" s="0" t="n">
        <f aca="false">SUMIFS(Sales!D:D,Sales!C:C,A205)</f>
        <v>150</v>
      </c>
      <c r="E205" s="3" t="n">
        <f aca="false">_xlfn.XLOOKUP(A205,Item_Master!A:A,Item_Master!G:G)</f>
        <v>340</v>
      </c>
      <c r="F205" s="3" t="n">
        <f aca="false">D205*E205</f>
        <v>51000</v>
      </c>
    </row>
    <row r="206" customFormat="false" ht="15" hidden="false" customHeight="false" outlineLevel="0" collapsed="false">
      <c r="A206" s="0" t="s">
        <v>450</v>
      </c>
      <c r="B206" s="0" t="str">
        <f aca="false">_xlfn.XLOOKUP(A206,Item_Master!A:A,Item_Master!B:B)</f>
        <v>Loctite Insulation Tape 18mm</v>
      </c>
      <c r="C206" s="0" t="str">
        <f aca="false">_xlfn.XLOOKUP(A206,Item_Master!A:A,Item_Master!C:C)</f>
        <v>Adhesives &amp; Sealants</v>
      </c>
      <c r="D206" s="0" t="n">
        <f aca="false">SUMIFS(Sales!D:D,Sales!C:C,A206)</f>
        <v>155</v>
      </c>
      <c r="E206" s="3" t="n">
        <f aca="false">_xlfn.XLOOKUP(A206,Item_Master!A:A,Item_Master!G:G)</f>
        <v>850</v>
      </c>
      <c r="F206" s="3" t="n">
        <f aca="false">D206*E206</f>
        <v>131750</v>
      </c>
    </row>
    <row r="207" customFormat="false" ht="15" hidden="false" customHeight="false" outlineLevel="0" collapsed="false">
      <c r="A207" s="0" t="s">
        <v>452</v>
      </c>
      <c r="B207" s="0" t="str">
        <f aca="false">_xlfn.XLOOKUP(A207,Item_Master!A:A,Item_Master!B:B)</f>
        <v>Pye Pipe Wrench 14 inch</v>
      </c>
      <c r="C207" s="0" t="str">
        <f aca="false">_xlfn.XLOOKUP(A207,Item_Master!A:A,Item_Master!C:C)</f>
        <v>Hand Tools</v>
      </c>
      <c r="D207" s="0" t="n">
        <f aca="false">SUMIFS(Sales!D:D,Sales!C:C,A207)</f>
        <v>45</v>
      </c>
      <c r="E207" s="3" t="n">
        <f aca="false">_xlfn.XLOOKUP(A207,Item_Master!A:A,Item_Master!G:G)</f>
        <v>860</v>
      </c>
      <c r="F207" s="3" t="n">
        <f aca="false">D207*E207</f>
        <v>38700</v>
      </c>
    </row>
    <row r="208" customFormat="false" ht="15" hidden="false" customHeight="false" outlineLevel="0" collapsed="false">
      <c r="A208" s="0" t="s">
        <v>453</v>
      </c>
      <c r="B208" s="0" t="str">
        <f aca="false">_xlfn.XLOOKUP(A208,Item_Master!A:A,Item_Master!B:B)</f>
        <v>Bosi Spanner Set 8 pc</v>
      </c>
      <c r="C208" s="0" t="str">
        <f aca="false">_xlfn.XLOOKUP(A208,Item_Master!A:A,Item_Master!C:C)</f>
        <v>Hand Tools</v>
      </c>
      <c r="D208" s="0" t="n">
        <f aca="false">SUMIFS(Sales!D:D,Sales!C:C,A208)</f>
        <v>101</v>
      </c>
      <c r="E208" s="3" t="n">
        <f aca="false">_xlfn.XLOOKUP(A208,Item_Master!A:A,Item_Master!G:G)</f>
        <v>2190</v>
      </c>
      <c r="F208" s="3" t="n">
        <f aca="false">D208*E208</f>
        <v>221190</v>
      </c>
    </row>
    <row r="209" customFormat="false" ht="15" hidden="false" customHeight="false" outlineLevel="0" collapsed="false">
      <c r="A209" s="0" t="s">
        <v>455</v>
      </c>
      <c r="B209" s="0" t="str">
        <f aca="false">_xlfn.XLOOKUP(A209,Item_Master!A:A,Item_Master!B:B)</f>
        <v>GKW Self-tapping Screws No.8</v>
      </c>
      <c r="C209" s="0" t="str">
        <f aca="false">_xlfn.XLOOKUP(A209,Item_Master!A:A,Item_Master!C:C)</f>
        <v>Fasteners</v>
      </c>
      <c r="D209" s="0" t="n">
        <f aca="false">SUMIFS(Sales!D:D,Sales!C:C,A209)</f>
        <v>60</v>
      </c>
      <c r="E209" s="3" t="n">
        <f aca="false">_xlfn.XLOOKUP(A209,Item_Master!A:A,Item_Master!G:G)</f>
        <v>120</v>
      </c>
      <c r="F209" s="3" t="n">
        <f aca="false">D209*E209</f>
        <v>7200</v>
      </c>
    </row>
    <row r="210" customFormat="false" ht="15" hidden="false" customHeight="false" outlineLevel="0" collapsed="false">
      <c r="A210" s="0" t="s">
        <v>456</v>
      </c>
      <c r="B210" s="0" t="str">
        <f aca="false">_xlfn.XLOOKUP(A210,Item_Master!A:A,Item_Master!B:B)</f>
        <v>Astral Ball Valve 1 inch</v>
      </c>
      <c r="C210" s="0" t="str">
        <f aca="false">_xlfn.XLOOKUP(A210,Item_Master!A:A,Item_Master!C:C)</f>
        <v>Plumbing</v>
      </c>
      <c r="D210" s="0" t="n">
        <f aca="false">SUMIFS(Sales!D:D,Sales!C:C,A210)</f>
        <v>172</v>
      </c>
      <c r="E210" s="3" t="n">
        <f aca="false">_xlfn.XLOOKUP(A210,Item_Master!A:A,Item_Master!G:G)</f>
        <v>650</v>
      </c>
      <c r="F210" s="3" t="n">
        <f aca="false">D210*E210</f>
        <v>111800</v>
      </c>
    </row>
    <row r="211" customFormat="false" ht="15" hidden="false" customHeight="false" outlineLevel="0" collapsed="false">
      <c r="A211" s="0" t="s">
        <v>457</v>
      </c>
      <c r="B211" s="0" t="str">
        <f aca="false">_xlfn.XLOOKUP(A211,Item_Master!A:A,Item_Master!B:B)</f>
        <v>Apex Anchor Bolts M10</v>
      </c>
      <c r="C211" s="0" t="str">
        <f aca="false">_xlfn.XLOOKUP(A211,Item_Master!A:A,Item_Master!C:C)</f>
        <v>Fasteners</v>
      </c>
      <c r="D211" s="0" t="n">
        <f aca="false">SUMIFS(Sales!D:D,Sales!C:C,A211)</f>
        <v>130</v>
      </c>
      <c r="E211" s="3" t="n">
        <f aca="false">_xlfn.XLOOKUP(A211,Item_Master!A:A,Item_Master!G:G)</f>
        <v>610</v>
      </c>
      <c r="F211" s="3" t="n">
        <f aca="false">D211*E211</f>
        <v>79300</v>
      </c>
    </row>
    <row r="212" customFormat="false" ht="15" hidden="false" customHeight="false" outlineLevel="0" collapsed="false">
      <c r="A212" s="0" t="s">
        <v>459</v>
      </c>
      <c r="B212" s="0" t="str">
        <f aca="false">_xlfn.XLOOKUP(A212,Item_Master!A:A,Item_Master!B:B)</f>
        <v>DeWalt Reciprocating Saw Standard</v>
      </c>
      <c r="C212" s="0" t="str">
        <f aca="false">_xlfn.XLOOKUP(A212,Item_Master!A:A,Item_Master!C:C)</f>
        <v>Power Tools</v>
      </c>
      <c r="D212" s="0" t="n">
        <f aca="false">SUMIFS(Sales!D:D,Sales!C:C,A212)</f>
        <v>5</v>
      </c>
      <c r="E212" s="3" t="n">
        <f aca="false">_xlfn.XLOOKUP(A212,Item_Master!A:A,Item_Master!G:G)</f>
        <v>8770</v>
      </c>
      <c r="F212" s="3" t="n">
        <f aca="false">D212*E212</f>
        <v>43850</v>
      </c>
    </row>
    <row r="213" customFormat="false" ht="15" hidden="false" customHeight="false" outlineLevel="0" collapsed="false">
      <c r="A213" s="0" t="s">
        <v>461</v>
      </c>
      <c r="B213" s="0" t="str">
        <f aca="false">_xlfn.XLOOKUP(A213,Item_Master!A:A,Item_Master!B:B)</f>
        <v>Astral Ball Valve 1 inch</v>
      </c>
      <c r="C213" s="0" t="str">
        <f aca="false">_xlfn.XLOOKUP(A213,Item_Master!A:A,Item_Master!C:C)</f>
        <v>Plumbing</v>
      </c>
      <c r="D213" s="0" t="n">
        <f aca="false">SUMIFS(Sales!D:D,Sales!C:C,A213)</f>
        <v>150</v>
      </c>
      <c r="E213" s="3" t="n">
        <f aca="false">_xlfn.XLOOKUP(A213,Item_Master!A:A,Item_Master!G:G)</f>
        <v>1530</v>
      </c>
      <c r="F213" s="3" t="n">
        <f aca="false">D213*E213</f>
        <v>229500</v>
      </c>
    </row>
    <row r="214" customFormat="false" ht="15" hidden="false" customHeight="false" outlineLevel="0" collapsed="false">
      <c r="A214" s="0" t="s">
        <v>462</v>
      </c>
      <c r="B214" s="0" t="str">
        <f aca="false">_xlfn.XLOOKUP(A214,Item_Master!A:A,Item_Master!B:B)</f>
        <v>Black &amp; Decker Reciprocating Saw Standard</v>
      </c>
      <c r="C214" s="0" t="str">
        <f aca="false">_xlfn.XLOOKUP(A214,Item_Master!A:A,Item_Master!C:C)</f>
        <v>Power Tools</v>
      </c>
      <c r="D214" s="0" t="n">
        <f aca="false">SUMIFS(Sales!D:D,Sales!C:C,A214)</f>
        <v>55</v>
      </c>
      <c r="E214" s="3" t="n">
        <f aca="false">_xlfn.XLOOKUP(A214,Item_Master!A:A,Item_Master!G:G)</f>
        <v>11100</v>
      </c>
      <c r="F214" s="3" t="n">
        <f aca="false">D214*E214</f>
        <v>610500</v>
      </c>
    </row>
    <row r="215" customFormat="false" ht="15" hidden="false" customHeight="false" outlineLevel="0" collapsed="false">
      <c r="A215" s="0" t="s">
        <v>464</v>
      </c>
      <c r="B215" s="0" t="str">
        <f aca="false">_xlfn.XLOOKUP(A215,Item_Master!A:A,Item_Master!B:B)</f>
        <v>Europa Door Hinge 3 inch</v>
      </c>
      <c r="C215" s="0" t="str">
        <f aca="false">_xlfn.XLOOKUP(A215,Item_Master!A:A,Item_Master!C:C)</f>
        <v>Hardware</v>
      </c>
      <c r="D215" s="0" t="n">
        <f aca="false">SUMIFS(Sales!D:D,Sales!C:C,A215)</f>
        <v>61</v>
      </c>
      <c r="E215" s="3" t="n">
        <f aca="false">_xlfn.XLOOKUP(A215,Item_Master!A:A,Item_Master!G:G)</f>
        <v>820</v>
      </c>
      <c r="F215" s="3" t="n">
        <f aca="false">D215*E215</f>
        <v>50020</v>
      </c>
    </row>
    <row r="216" customFormat="false" ht="15" hidden="false" customHeight="false" outlineLevel="0" collapsed="false">
      <c r="A216" s="0" t="s">
        <v>465</v>
      </c>
      <c r="B216" s="0" t="str">
        <f aca="false">_xlfn.XLOOKUP(A216,Item_Master!A:A,Item_Master!B:B)</f>
        <v>Polycab LED Bulb 12W</v>
      </c>
      <c r="C216" s="0" t="str">
        <f aca="false">_xlfn.XLOOKUP(A216,Item_Master!A:A,Item_Master!C:C)</f>
        <v>Electrical</v>
      </c>
      <c r="D216" s="0" t="n">
        <f aca="false">SUMIFS(Sales!D:D,Sales!C:C,A216)</f>
        <v>30</v>
      </c>
      <c r="E216" s="3" t="n">
        <f aca="false">_xlfn.XLOOKUP(A216,Item_Master!A:A,Item_Master!G:G)</f>
        <v>2260</v>
      </c>
      <c r="F216" s="3" t="n">
        <f aca="false">D216*E216</f>
        <v>67800</v>
      </c>
    </row>
    <row r="217" customFormat="false" ht="15" hidden="false" customHeight="false" outlineLevel="0" collapsed="false">
      <c r="A217" s="0" t="s">
        <v>467</v>
      </c>
      <c r="B217" s="0" t="str">
        <f aca="false">_xlfn.XLOOKUP(A217,Item_Master!A:A,Item_Master!B:B)</f>
        <v>Trustbasket Hoe Standard</v>
      </c>
      <c r="C217" s="0" t="str">
        <f aca="false">_xlfn.XLOOKUP(A217,Item_Master!A:A,Item_Master!C:C)</f>
        <v>Garden Tools</v>
      </c>
      <c r="D217" s="0" t="n">
        <f aca="false">SUMIFS(Sales!D:D,Sales!C:C,A217)</f>
        <v>48</v>
      </c>
      <c r="E217" s="3" t="n">
        <f aca="false">_xlfn.XLOOKUP(A217,Item_Master!A:A,Item_Master!G:G)</f>
        <v>7130</v>
      </c>
      <c r="F217" s="3" t="n">
        <f aca="false">D217*E217</f>
        <v>342240</v>
      </c>
    </row>
    <row r="218" customFormat="false" ht="15" hidden="false" customHeight="false" outlineLevel="0" collapsed="false">
      <c r="A218" s="0" t="s">
        <v>469</v>
      </c>
      <c r="B218" s="0" t="str">
        <f aca="false">_xlfn.XLOOKUP(A218,Item_Master!A:A,Item_Master!B:B)</f>
        <v>Mallcom Ear Plugs Foam</v>
      </c>
      <c r="C218" s="0" t="str">
        <f aca="false">_xlfn.XLOOKUP(A218,Item_Master!A:A,Item_Master!C:C)</f>
        <v>Safety Gear</v>
      </c>
      <c r="D218" s="0" t="n">
        <f aca="false">SUMIFS(Sales!D:D,Sales!C:C,A218)</f>
        <v>175</v>
      </c>
      <c r="E218" s="3" t="n">
        <f aca="false">_xlfn.XLOOKUP(A218,Item_Master!A:A,Item_Master!G:G)</f>
        <v>4160</v>
      </c>
      <c r="F218" s="3" t="n">
        <f aca="false">D218*E218</f>
        <v>728000</v>
      </c>
    </row>
    <row r="219" customFormat="false" ht="15" hidden="false" customHeight="false" outlineLevel="0" collapsed="false">
      <c r="A219" s="0" t="s">
        <v>470</v>
      </c>
      <c r="B219" s="0" t="str">
        <f aca="false">_xlfn.XLOOKUP(A219,Item_Master!A:A,Item_Master!B:B)</f>
        <v>Europa Door Closer Heavy Duty</v>
      </c>
      <c r="C219" s="0" t="str">
        <f aca="false">_xlfn.XLOOKUP(A219,Item_Master!A:A,Item_Master!C:C)</f>
        <v>Hardware</v>
      </c>
      <c r="D219" s="0" t="n">
        <f aca="false">SUMIFS(Sales!D:D,Sales!C:C,A219)</f>
        <v>155</v>
      </c>
      <c r="E219" s="3" t="n">
        <f aca="false">_xlfn.XLOOKUP(A219,Item_Master!A:A,Item_Master!G:G)</f>
        <v>1370</v>
      </c>
      <c r="F219" s="3" t="n">
        <f aca="false">D219*E219</f>
        <v>212350</v>
      </c>
    </row>
    <row r="220" customFormat="false" ht="15" hidden="false" customHeight="false" outlineLevel="0" collapsed="false">
      <c r="A220" s="0" t="s">
        <v>472</v>
      </c>
      <c r="B220" s="0" t="str">
        <f aca="false">_xlfn.XLOOKUP(A220,Item_Master!A:A,Item_Master!B:B)</f>
        <v>Trustbasket Watering Can 10L</v>
      </c>
      <c r="C220" s="0" t="str">
        <f aca="false">_xlfn.XLOOKUP(A220,Item_Master!A:A,Item_Master!C:C)</f>
        <v>Garden Tools</v>
      </c>
      <c r="D220" s="0" t="n">
        <f aca="false">SUMIFS(Sales!D:D,Sales!C:C,A220)</f>
        <v>67</v>
      </c>
      <c r="E220" s="3" t="n">
        <f aca="false">_xlfn.XLOOKUP(A220,Item_Master!A:A,Item_Master!G:G)</f>
        <v>3700</v>
      </c>
      <c r="F220" s="3" t="n">
        <f aca="false">D220*E220</f>
        <v>247900</v>
      </c>
    </row>
    <row r="221" customFormat="false" ht="15" hidden="false" customHeight="false" outlineLevel="0" collapsed="false">
      <c r="A221" s="0" t="s">
        <v>473</v>
      </c>
      <c r="B221" s="0" t="str">
        <f aca="false">_xlfn.XLOOKUP(A221,Item_Master!A:A,Item_Master!B:B)</f>
        <v>GKW Nuts M10</v>
      </c>
      <c r="C221" s="0" t="str">
        <f aca="false">_xlfn.XLOOKUP(A221,Item_Master!A:A,Item_Master!C:C)</f>
        <v>Fasteners</v>
      </c>
      <c r="D221" s="0" t="n">
        <f aca="false">SUMIFS(Sales!D:D,Sales!C:C,A221)</f>
        <v>332</v>
      </c>
      <c r="E221" s="3" t="n">
        <f aca="false">_xlfn.XLOOKUP(A221,Item_Master!A:A,Item_Master!G:G)</f>
        <v>190</v>
      </c>
      <c r="F221" s="3" t="n">
        <f aca="false">D221*E221</f>
        <v>63080</v>
      </c>
    </row>
    <row r="222" customFormat="false" ht="15" hidden="false" customHeight="false" outlineLevel="0" collapsed="false">
      <c r="A222" s="0" t="s">
        <v>474</v>
      </c>
      <c r="B222" s="0" t="str">
        <f aca="false">_xlfn.XLOOKUP(A222,Item_Master!A:A,Item_Master!B:B)</f>
        <v>Stanley Angle Grinder 5 inch</v>
      </c>
      <c r="C222" s="0" t="str">
        <f aca="false">_xlfn.XLOOKUP(A222,Item_Master!A:A,Item_Master!C:C)</f>
        <v>Power Tools</v>
      </c>
      <c r="D222" s="0" t="n">
        <f aca="false">SUMIFS(Sales!D:D,Sales!C:C,A222)</f>
        <v>151</v>
      </c>
      <c r="E222" s="3" t="n">
        <f aca="false">_xlfn.XLOOKUP(A222,Item_Master!A:A,Item_Master!G:G)</f>
        <v>9120</v>
      </c>
      <c r="F222" s="3" t="n">
        <f aca="false">D222*E222</f>
        <v>1377120</v>
      </c>
    </row>
    <row r="223" customFormat="false" ht="15" hidden="false" customHeight="false" outlineLevel="0" collapsed="false">
      <c r="A223" s="0" t="s">
        <v>476</v>
      </c>
      <c r="B223" s="0" t="str">
        <f aca="false">_xlfn.XLOOKUP(A223,Item_Master!A:A,Item_Master!B:B)</f>
        <v>Loctite Silicone Sealant 280ml</v>
      </c>
      <c r="C223" s="0" t="str">
        <f aca="false">_xlfn.XLOOKUP(A223,Item_Master!A:A,Item_Master!C:C)</f>
        <v>Adhesives &amp; Sealants</v>
      </c>
      <c r="D223" s="0" t="n">
        <f aca="false">SUMIFS(Sales!D:D,Sales!C:C,A223)</f>
        <v>89</v>
      </c>
      <c r="E223" s="3" t="n">
        <f aca="false">_xlfn.XLOOKUP(A223,Item_Master!A:A,Item_Master!G:G)</f>
        <v>610</v>
      </c>
      <c r="F223" s="3" t="n">
        <f aca="false">D223*E223</f>
        <v>54290</v>
      </c>
    </row>
    <row r="224" customFormat="false" ht="15" hidden="false" customHeight="false" outlineLevel="0" collapsed="false">
      <c r="A224" s="0" t="s">
        <v>478</v>
      </c>
      <c r="B224" s="0" t="str">
        <f aca="false">_xlfn.XLOOKUP(A224,Item_Master!A:A,Item_Master!B:B)</f>
        <v>TVS Socket 1/2 inch Drive Set</v>
      </c>
      <c r="C224" s="0" t="str">
        <f aca="false">_xlfn.XLOOKUP(A224,Item_Master!A:A,Item_Master!C:C)</f>
        <v>Hand Tools</v>
      </c>
      <c r="D224" s="0" t="n">
        <f aca="false">SUMIFS(Sales!D:D,Sales!C:C,A224)</f>
        <v>45</v>
      </c>
      <c r="E224" s="3" t="n">
        <f aca="false">_xlfn.XLOOKUP(A224,Item_Master!A:A,Item_Master!G:G)</f>
        <v>2030</v>
      </c>
      <c r="F224" s="3" t="n">
        <f aca="false">D224*E224</f>
        <v>91350</v>
      </c>
    </row>
    <row r="225" customFormat="false" ht="15" hidden="false" customHeight="false" outlineLevel="0" collapsed="false">
      <c r="A225" s="0" t="s">
        <v>480</v>
      </c>
      <c r="B225" s="0" t="str">
        <f aca="false">_xlfn.XLOOKUP(A225,Item_Master!A:A,Item_Master!B:B)</f>
        <v>Karam Safety Harness Full Body</v>
      </c>
      <c r="C225" s="0" t="str">
        <f aca="false">_xlfn.XLOOKUP(A225,Item_Master!A:A,Item_Master!C:C)</f>
        <v>Safety Gear</v>
      </c>
      <c r="D225" s="0" t="n">
        <f aca="false">SUMIFS(Sales!D:D,Sales!C:C,A225)</f>
        <v>123</v>
      </c>
      <c r="E225" s="3" t="n">
        <f aca="false">_xlfn.XLOOKUP(A225,Item_Master!A:A,Item_Master!G:G)</f>
        <v>2630</v>
      </c>
      <c r="F225" s="3" t="n">
        <f aca="false">D225*E225</f>
        <v>323490</v>
      </c>
    </row>
    <row r="226" customFormat="false" ht="15" hidden="false" customHeight="false" outlineLevel="0" collapsed="false">
      <c r="A226" s="0" t="s">
        <v>482</v>
      </c>
      <c r="B226" s="0" t="str">
        <f aca="false">_xlfn.XLOOKUP(A226,Item_Master!A:A,Item_Master!B:B)</f>
        <v>Prince Pillar Cock Standard</v>
      </c>
      <c r="C226" s="0" t="str">
        <f aca="false">_xlfn.XLOOKUP(A226,Item_Master!A:A,Item_Master!C:C)</f>
        <v>Plumbing</v>
      </c>
      <c r="D226" s="0" t="n">
        <f aca="false">SUMIFS(Sales!D:D,Sales!C:C,A226)</f>
        <v>75</v>
      </c>
      <c r="E226" s="3" t="n">
        <f aca="false">_xlfn.XLOOKUP(A226,Item_Master!A:A,Item_Master!G:G)</f>
        <v>1220</v>
      </c>
      <c r="F226" s="3" t="n">
        <f aca="false">D226*E226</f>
        <v>91500</v>
      </c>
    </row>
    <row r="227" customFormat="false" ht="15" hidden="false" customHeight="false" outlineLevel="0" collapsed="false">
      <c r="A227" s="0" t="s">
        <v>484</v>
      </c>
      <c r="B227" s="0" t="str">
        <f aca="false">_xlfn.XLOOKUP(A227,Item_Master!A:A,Item_Master!B:B)</f>
        <v>Godrej Bracket Heavy</v>
      </c>
      <c r="C227" s="0" t="str">
        <f aca="false">_xlfn.XLOOKUP(A227,Item_Master!A:A,Item_Master!C:C)</f>
        <v>Hardware</v>
      </c>
      <c r="D227" s="0" t="n">
        <f aca="false">SUMIFS(Sales!D:D,Sales!C:C,A227)</f>
        <v>18</v>
      </c>
      <c r="E227" s="3" t="n">
        <f aca="false">_xlfn.XLOOKUP(A227,Item_Master!A:A,Item_Master!G:G)</f>
        <v>2430</v>
      </c>
      <c r="F227" s="3" t="n">
        <f aca="false">D227*E227</f>
        <v>43740</v>
      </c>
    </row>
    <row r="228" customFormat="false" ht="15" hidden="false" customHeight="false" outlineLevel="0" collapsed="false">
      <c r="A228" s="0" t="s">
        <v>486</v>
      </c>
      <c r="B228" s="0" t="str">
        <f aca="false">_xlfn.XLOOKUP(A228,Item_Master!A:A,Item_Master!B:B)</f>
        <v>Havells Switch 2-way</v>
      </c>
      <c r="C228" s="0" t="str">
        <f aca="false">_xlfn.XLOOKUP(A228,Item_Master!A:A,Item_Master!C:C)</f>
        <v>Electrical</v>
      </c>
      <c r="D228" s="0" t="n">
        <f aca="false">SUMIFS(Sales!D:D,Sales!C:C,A228)</f>
        <v>169</v>
      </c>
      <c r="E228" s="3" t="n">
        <f aca="false">_xlfn.XLOOKUP(A228,Item_Master!A:A,Item_Master!G:G)</f>
        <v>1700</v>
      </c>
      <c r="F228" s="3" t="n">
        <f aca="false">D228*E228</f>
        <v>287300</v>
      </c>
    </row>
    <row r="229" customFormat="false" ht="15" hidden="false" customHeight="false" outlineLevel="0" collapsed="false">
      <c r="A229" s="0" t="s">
        <v>487</v>
      </c>
      <c r="B229" s="0" t="str">
        <f aca="false">_xlfn.XLOOKUP(A229,Item_Master!A:A,Item_Master!B:B)</f>
        <v>Anchor Washers M8</v>
      </c>
      <c r="C229" s="0" t="str">
        <f aca="false">_xlfn.XLOOKUP(A229,Item_Master!A:A,Item_Master!C:C)</f>
        <v>Fasteners</v>
      </c>
      <c r="D229" s="0" t="n">
        <f aca="false">SUMIFS(Sales!D:D,Sales!C:C,A229)</f>
        <v>62</v>
      </c>
      <c r="E229" s="3" t="n">
        <f aca="false">_xlfn.XLOOKUP(A229,Item_Master!A:A,Item_Master!G:G)</f>
        <v>480</v>
      </c>
      <c r="F229" s="3" t="n">
        <f aca="false">D229*E229</f>
        <v>29760</v>
      </c>
    </row>
    <row r="230" customFormat="false" ht="15" hidden="false" customHeight="false" outlineLevel="0" collapsed="false">
      <c r="A230" s="0" t="s">
        <v>489</v>
      </c>
      <c r="B230" s="0" t="str">
        <f aca="false">_xlfn.XLOOKUP(A230,Item_Master!A:A,Item_Master!B:B)</f>
        <v>DeWalt Reciprocating Saw Standard</v>
      </c>
      <c r="C230" s="0" t="str">
        <f aca="false">_xlfn.XLOOKUP(A230,Item_Master!A:A,Item_Master!C:C)</f>
        <v>Power Tools</v>
      </c>
      <c r="D230" s="0" t="n">
        <f aca="false">SUMIFS(Sales!D:D,Sales!C:C,A230)</f>
        <v>77</v>
      </c>
      <c r="E230" s="3" t="n">
        <f aca="false">_xlfn.XLOOKUP(A230,Item_Master!A:A,Item_Master!G:G)</f>
        <v>8080</v>
      </c>
      <c r="F230" s="3" t="n">
        <f aca="false">D230*E230</f>
        <v>622160</v>
      </c>
    </row>
    <row r="231" customFormat="false" ht="15" hidden="false" customHeight="false" outlineLevel="0" collapsed="false">
      <c r="A231" s="0" t="s">
        <v>490</v>
      </c>
      <c r="B231" s="0" t="str">
        <f aca="false">_xlfn.XLOOKUP(A231,Item_Master!A:A,Item_Master!B:B)</f>
        <v>Birla Interior Emulsion 1L</v>
      </c>
      <c r="C231" s="0" t="str">
        <f aca="false">_xlfn.XLOOKUP(A231,Item_Master!A:A,Item_Master!C:C)</f>
        <v>Paints &amp; Coatings</v>
      </c>
      <c r="D231" s="0" t="n">
        <f aca="false">SUMIFS(Sales!D:D,Sales!C:C,A231)</f>
        <v>225</v>
      </c>
      <c r="E231" s="3" t="n">
        <f aca="false">_xlfn.XLOOKUP(A231,Item_Master!A:A,Item_Master!G:G)</f>
        <v>4420</v>
      </c>
      <c r="F231" s="3" t="n">
        <f aca="false">D231*E231</f>
        <v>994500</v>
      </c>
    </row>
    <row r="232" customFormat="false" ht="15" hidden="false" customHeight="false" outlineLevel="0" collapsed="false">
      <c r="A232" s="0" t="s">
        <v>492</v>
      </c>
      <c r="B232" s="0" t="str">
        <f aca="false">_xlfn.XLOOKUP(A232,Item_Master!A:A,Item_Master!B:B)</f>
        <v>Stanley Ball Peen Hammer 8oz</v>
      </c>
      <c r="C232" s="0" t="str">
        <f aca="false">_xlfn.XLOOKUP(A232,Item_Master!A:A,Item_Master!C:C)</f>
        <v>Hand Tools</v>
      </c>
      <c r="D232" s="0" t="n">
        <f aca="false">SUMIFS(Sales!D:D,Sales!C:C,A232)</f>
        <v>138</v>
      </c>
      <c r="E232" s="3" t="n">
        <f aca="false">_xlfn.XLOOKUP(A232,Item_Master!A:A,Item_Master!G:G)</f>
        <v>350</v>
      </c>
      <c r="F232" s="3" t="n">
        <f aca="false">D232*E232</f>
        <v>48300</v>
      </c>
    </row>
    <row r="233" customFormat="false" ht="15" hidden="false" customHeight="false" outlineLevel="0" collapsed="false">
      <c r="A233" s="0" t="s">
        <v>493</v>
      </c>
      <c r="B233" s="0" t="str">
        <f aca="false">_xlfn.XLOOKUP(A233,Item_Master!A:A,Item_Master!B:B)</f>
        <v>Dulux Wood Stain 1L</v>
      </c>
      <c r="C233" s="0" t="str">
        <f aca="false">_xlfn.XLOOKUP(A233,Item_Master!A:A,Item_Master!C:C)</f>
        <v>Paints &amp; Coatings</v>
      </c>
      <c r="D233" s="0" t="n">
        <f aca="false">SUMIFS(Sales!D:D,Sales!C:C,A233)</f>
        <v>52</v>
      </c>
      <c r="E233" s="3" t="n">
        <f aca="false">_xlfn.XLOOKUP(A233,Item_Master!A:A,Item_Master!G:G)</f>
        <v>470</v>
      </c>
      <c r="F233" s="3" t="n">
        <f aca="false">D233*E233</f>
        <v>24440</v>
      </c>
    </row>
    <row r="234" customFormat="false" ht="15" hidden="false" customHeight="false" outlineLevel="0" collapsed="false">
      <c r="A234" s="0" t="s">
        <v>494</v>
      </c>
      <c r="B234" s="0" t="str">
        <f aca="false">_xlfn.XLOOKUP(A234,Item_Master!A:A,Item_Master!B:B)</f>
        <v>Stanley Jig Saw Standard</v>
      </c>
      <c r="C234" s="0" t="str">
        <f aca="false">_xlfn.XLOOKUP(A234,Item_Master!A:A,Item_Master!C:C)</f>
        <v>Power Tools</v>
      </c>
      <c r="D234" s="0" t="n">
        <f aca="false">SUMIFS(Sales!D:D,Sales!C:C,A234)</f>
        <v>87</v>
      </c>
      <c r="E234" s="3" t="n">
        <f aca="false">_xlfn.XLOOKUP(A234,Item_Master!A:A,Item_Master!G:G)</f>
        <v>13940</v>
      </c>
      <c r="F234" s="3" t="n">
        <f aca="false">D234*E234</f>
        <v>1212780</v>
      </c>
    </row>
    <row r="235" customFormat="false" ht="15" hidden="false" customHeight="false" outlineLevel="0" collapsed="false">
      <c r="A235" s="0" t="s">
        <v>496</v>
      </c>
      <c r="B235" s="0" t="str">
        <f aca="false">_xlfn.XLOOKUP(A235,Item_Master!A:A,Item_Master!B:B)</f>
        <v>Loctite Epoxy Resin 100g</v>
      </c>
      <c r="C235" s="0" t="str">
        <f aca="false">_xlfn.XLOOKUP(A235,Item_Master!A:A,Item_Master!C:C)</f>
        <v>Adhesives &amp; Sealants</v>
      </c>
      <c r="D235" s="0" t="n">
        <f aca="false">SUMIFS(Sales!D:D,Sales!C:C,A235)</f>
        <v>111</v>
      </c>
      <c r="E235" s="3" t="n">
        <f aca="false">_xlfn.XLOOKUP(A235,Item_Master!A:A,Item_Master!G:G)</f>
        <v>510</v>
      </c>
      <c r="F235" s="3" t="n">
        <f aca="false">D235*E235</f>
        <v>56610</v>
      </c>
    </row>
    <row r="236" customFormat="false" ht="15" hidden="false" customHeight="false" outlineLevel="0" collapsed="false">
      <c r="A236" s="0" t="s">
        <v>498</v>
      </c>
      <c r="B236" s="0" t="str">
        <f aca="false">_xlfn.XLOOKUP(A236,Item_Master!A:A,Item_Master!B:B)</f>
        <v>Philips PVC Conduit 25mm</v>
      </c>
      <c r="C236" s="0" t="str">
        <f aca="false">_xlfn.XLOOKUP(A236,Item_Master!A:A,Item_Master!C:C)</f>
        <v>Electrical</v>
      </c>
      <c r="D236" s="0" t="n">
        <f aca="false">SUMIFS(Sales!D:D,Sales!C:C,A236)</f>
        <v>134</v>
      </c>
      <c r="E236" s="3" t="n">
        <f aca="false">_xlfn.XLOOKUP(A236,Item_Master!A:A,Item_Master!G:G)</f>
        <v>2950</v>
      </c>
      <c r="F236" s="3" t="n">
        <f aca="false">D236*E236</f>
        <v>395300</v>
      </c>
    </row>
    <row r="237" customFormat="false" ht="15" hidden="false" customHeight="false" outlineLevel="0" collapsed="false">
      <c r="A237" s="0" t="s">
        <v>500</v>
      </c>
      <c r="B237" s="0" t="str">
        <f aca="false">_xlfn.XLOOKUP(A237,Item_Master!A:A,Item_Master!B:B)</f>
        <v>Pidilite Duct Tape 48mm x 25m</v>
      </c>
      <c r="C237" s="0" t="str">
        <f aca="false">_xlfn.XLOOKUP(A237,Item_Master!A:A,Item_Master!C:C)</f>
        <v>Adhesives &amp; Sealants</v>
      </c>
      <c r="D237" s="0" t="n">
        <f aca="false">SUMIFS(Sales!D:D,Sales!C:C,A237)</f>
        <v>48</v>
      </c>
      <c r="E237" s="3" t="n">
        <f aca="false">_xlfn.XLOOKUP(A237,Item_Master!A:A,Item_Master!G:G)</f>
        <v>690</v>
      </c>
      <c r="F237" s="3" t="n">
        <f aca="false">D237*E237</f>
        <v>33120</v>
      </c>
    </row>
    <row r="238" customFormat="false" ht="15" hidden="false" customHeight="false" outlineLevel="0" collapsed="false">
      <c r="A238" s="0" t="s">
        <v>503</v>
      </c>
      <c r="B238" s="0" t="str">
        <f aca="false">_xlfn.XLOOKUP(A238,Item_Master!A:A,Item_Master!B:B)</f>
        <v>Dulux Metal Primer 4L</v>
      </c>
      <c r="C238" s="0" t="str">
        <f aca="false">_xlfn.XLOOKUP(A238,Item_Master!A:A,Item_Master!C:C)</f>
        <v>Paints &amp; Coatings</v>
      </c>
      <c r="D238" s="0" t="n">
        <f aca="false">SUMIFS(Sales!D:D,Sales!C:C,A238)</f>
        <v>57</v>
      </c>
      <c r="E238" s="3" t="n">
        <f aca="false">_xlfn.XLOOKUP(A238,Item_Master!A:A,Item_Master!G:G)</f>
        <v>2680</v>
      </c>
      <c r="F238" s="3" t="n">
        <f aca="false">D238*E238</f>
        <v>152760</v>
      </c>
    </row>
    <row r="239" customFormat="false" ht="15" hidden="false" customHeight="false" outlineLevel="0" collapsed="false">
      <c r="A239" s="0" t="s">
        <v>505</v>
      </c>
      <c r="B239" s="0" t="str">
        <f aca="false">_xlfn.XLOOKUP(A239,Item_Master!A:A,Item_Master!B:B)</f>
        <v>Supreme Teflon Tape 19mm</v>
      </c>
      <c r="C239" s="0" t="str">
        <f aca="false">_xlfn.XLOOKUP(A239,Item_Master!A:A,Item_Master!C:C)</f>
        <v>Plumbing</v>
      </c>
      <c r="D239" s="0" t="n">
        <f aca="false">SUMIFS(Sales!D:D,Sales!C:C,A239)</f>
        <v>397</v>
      </c>
      <c r="E239" s="3" t="n">
        <f aca="false">_xlfn.XLOOKUP(A239,Item_Master!A:A,Item_Master!G:G)</f>
        <v>920</v>
      </c>
      <c r="F239" s="3" t="n">
        <f aca="false">D239*E239</f>
        <v>365240</v>
      </c>
    </row>
    <row r="240" customFormat="false" ht="15" hidden="false" customHeight="false" outlineLevel="0" collapsed="false">
      <c r="A240" s="0" t="s">
        <v>507</v>
      </c>
      <c r="B240" s="0" t="str">
        <f aca="false">_xlfn.XLOOKUP(A240,Item_Master!A:A,Item_Master!B:B)</f>
        <v>Havells Ceiling Fan 52 inch</v>
      </c>
      <c r="C240" s="0" t="str">
        <f aca="false">_xlfn.XLOOKUP(A240,Item_Master!A:A,Item_Master!C:C)</f>
        <v>Electrical</v>
      </c>
      <c r="D240" s="0" t="n">
        <f aca="false">SUMIFS(Sales!D:D,Sales!C:C,A240)</f>
        <v>116</v>
      </c>
      <c r="E240" s="3" t="n">
        <f aca="false">_xlfn.XLOOKUP(A240,Item_Master!A:A,Item_Master!G:G)</f>
        <v>440</v>
      </c>
      <c r="F240" s="3" t="n">
        <f aca="false">D240*E240</f>
        <v>51040</v>
      </c>
    </row>
    <row r="241" customFormat="false" ht="15" hidden="false" customHeight="false" outlineLevel="0" collapsed="false">
      <c r="A241" s="0" t="s">
        <v>509</v>
      </c>
      <c r="B241" s="0" t="str">
        <f aca="false">_xlfn.XLOOKUP(A241,Item_Master!A:A,Item_Master!B:B)</f>
        <v>GKW Nuts M6</v>
      </c>
      <c r="C241" s="0" t="str">
        <f aca="false">_xlfn.XLOOKUP(A241,Item_Master!A:A,Item_Master!C:C)</f>
        <v>Fasteners</v>
      </c>
      <c r="D241" s="0" t="n">
        <f aca="false">SUMIFS(Sales!D:D,Sales!C:C,A241)</f>
        <v>73</v>
      </c>
      <c r="E241" s="3" t="n">
        <f aca="false">_xlfn.XLOOKUP(A241,Item_Master!A:A,Item_Master!G:G)</f>
        <v>380</v>
      </c>
      <c r="F241" s="3" t="n">
        <f aca="false">D241*E241</f>
        <v>27740</v>
      </c>
    </row>
    <row r="242" customFormat="false" ht="15" hidden="false" customHeight="false" outlineLevel="0" collapsed="false">
      <c r="A242" s="0" t="s">
        <v>511</v>
      </c>
      <c r="B242" s="0" t="str">
        <f aca="false">_xlfn.XLOOKUP(A242,Item_Master!A:A,Item_Master!B:B)</f>
        <v>Honeywell Work Gloves Nitrile</v>
      </c>
      <c r="C242" s="0" t="str">
        <f aca="false">_xlfn.XLOOKUP(A242,Item_Master!A:A,Item_Master!C:C)</f>
        <v>Safety Gear</v>
      </c>
      <c r="D242" s="0" t="n">
        <f aca="false">SUMIFS(Sales!D:D,Sales!C:C,A242)</f>
        <v>55</v>
      </c>
      <c r="E242" s="3" t="n">
        <f aca="false">_xlfn.XLOOKUP(A242,Item_Master!A:A,Item_Master!G:G)</f>
        <v>2610</v>
      </c>
      <c r="F242" s="3" t="n">
        <f aca="false">D242*E242</f>
        <v>143550</v>
      </c>
    </row>
    <row r="243" customFormat="false" ht="15" hidden="false" customHeight="false" outlineLevel="0" collapsed="false">
      <c r="A243" s="0" t="s">
        <v>513</v>
      </c>
      <c r="B243" s="0" t="str">
        <f aca="false">_xlfn.XLOOKUP(A243,Item_Master!A:A,Item_Master!B:B)</f>
        <v>Stanley Ball Peen Hammer 16oz</v>
      </c>
      <c r="C243" s="0" t="str">
        <f aca="false">_xlfn.XLOOKUP(A243,Item_Master!A:A,Item_Master!C:C)</f>
        <v>Hand Tools</v>
      </c>
      <c r="D243" s="0" t="n">
        <f aca="false">SUMIFS(Sales!D:D,Sales!C:C,A243)</f>
        <v>40</v>
      </c>
      <c r="E243" s="3" t="n">
        <f aca="false">_xlfn.XLOOKUP(A243,Item_Master!A:A,Item_Master!G:G)</f>
        <v>2300</v>
      </c>
      <c r="F243" s="3" t="n">
        <f aca="false">D243*E243</f>
        <v>92000</v>
      </c>
    </row>
    <row r="244" customFormat="false" ht="15" hidden="false" customHeight="false" outlineLevel="0" collapsed="false">
      <c r="A244" s="0" t="s">
        <v>515</v>
      </c>
      <c r="B244" s="0" t="str">
        <f aca="false">_xlfn.XLOOKUP(A244,Item_Master!A:A,Item_Master!B:B)</f>
        <v>Hettich Bracket Heavy</v>
      </c>
      <c r="C244" s="0" t="str">
        <f aca="false">_xlfn.XLOOKUP(A244,Item_Master!A:A,Item_Master!C:C)</f>
        <v>Hardware</v>
      </c>
      <c r="D244" s="0" t="n">
        <f aca="false">SUMIFS(Sales!D:D,Sales!C:C,A244)</f>
        <v>93</v>
      </c>
      <c r="E244" s="3" t="n">
        <f aca="false">_xlfn.XLOOKUP(A244,Item_Master!A:A,Item_Master!G:G)</f>
        <v>940</v>
      </c>
      <c r="F244" s="3" t="n">
        <f aca="false">D244*E244</f>
        <v>87420</v>
      </c>
    </row>
    <row r="245" customFormat="false" ht="15" hidden="false" customHeight="false" outlineLevel="0" collapsed="false">
      <c r="A245" s="0" t="s">
        <v>516</v>
      </c>
      <c r="B245" s="0" t="str">
        <f aca="false">_xlfn.XLOOKUP(A245,Item_Master!A:A,Item_Master!B:B)</f>
        <v>Trustbasket Garden Hose 10m</v>
      </c>
      <c r="C245" s="0" t="str">
        <f aca="false">_xlfn.XLOOKUP(A245,Item_Master!A:A,Item_Master!C:C)</f>
        <v>Garden Tools</v>
      </c>
      <c r="D245" s="0" t="n">
        <f aca="false">SUMIFS(Sales!D:D,Sales!C:C,A245)</f>
        <v>97</v>
      </c>
      <c r="E245" s="3" t="n">
        <f aca="false">_xlfn.XLOOKUP(A245,Item_Master!A:A,Item_Master!G:G)</f>
        <v>6120</v>
      </c>
      <c r="F245" s="3" t="n">
        <f aca="false">D245*E245</f>
        <v>593640</v>
      </c>
    </row>
    <row r="246" customFormat="false" ht="15" hidden="false" customHeight="false" outlineLevel="0" collapsed="false">
      <c r="A246" s="0" t="s">
        <v>518</v>
      </c>
      <c r="B246" s="0" t="str">
        <f aca="false">_xlfn.XLOOKUP(A246,Item_Master!A:A,Item_Master!B:B)</f>
        <v>Plaza PVC Conduit 20mm</v>
      </c>
      <c r="C246" s="0" t="str">
        <f aca="false">_xlfn.XLOOKUP(A246,Item_Master!A:A,Item_Master!C:C)</f>
        <v>Electrical</v>
      </c>
      <c r="D246" s="0" t="n">
        <f aca="false">SUMIFS(Sales!D:D,Sales!C:C,A246)</f>
        <v>165</v>
      </c>
      <c r="E246" s="3" t="n">
        <f aca="false">_xlfn.XLOOKUP(A246,Item_Master!A:A,Item_Master!G:G)</f>
        <v>3290</v>
      </c>
      <c r="F246" s="3" t="n">
        <f aca="false">D246*E246</f>
        <v>542850</v>
      </c>
    </row>
    <row r="247" customFormat="false" ht="15" hidden="false" customHeight="false" outlineLevel="0" collapsed="false">
      <c r="A247" s="0" t="s">
        <v>519</v>
      </c>
      <c r="B247" s="0" t="str">
        <f aca="false">_xlfn.XLOOKUP(A247,Item_Master!A:A,Item_Master!B:B)</f>
        <v>Prince Ball Valve 1/2 inch</v>
      </c>
      <c r="C247" s="0" t="str">
        <f aca="false">_xlfn.XLOOKUP(A247,Item_Master!A:A,Item_Master!C:C)</f>
        <v>Plumbing</v>
      </c>
      <c r="D247" s="0" t="n">
        <f aca="false">SUMIFS(Sales!D:D,Sales!C:C,A247)</f>
        <v>52</v>
      </c>
      <c r="E247" s="3" t="n">
        <f aca="false">_xlfn.XLOOKUP(A247,Item_Master!A:A,Item_Master!G:G)</f>
        <v>570</v>
      </c>
      <c r="F247" s="3" t="n">
        <f aca="false">D247*E247</f>
        <v>29640</v>
      </c>
    </row>
    <row r="248" customFormat="false" ht="15" hidden="false" customHeight="false" outlineLevel="0" collapsed="false">
      <c r="A248" s="0" t="s">
        <v>521</v>
      </c>
      <c r="B248" s="0" t="str">
        <f aca="false">_xlfn.XLOOKUP(A248,Item_Master!A:A,Item_Master!B:B)</f>
        <v>Pidilite Wood Glue 100g</v>
      </c>
      <c r="C248" s="0" t="str">
        <f aca="false">_xlfn.XLOOKUP(A248,Item_Master!A:A,Item_Master!C:C)</f>
        <v>Adhesives &amp; Sealants</v>
      </c>
      <c r="D248" s="0" t="n">
        <f aca="false">SUMIFS(Sales!D:D,Sales!C:C,A248)</f>
        <v>33</v>
      </c>
      <c r="E248" s="3" t="n">
        <f aca="false">_xlfn.XLOOKUP(A248,Item_Master!A:A,Item_Master!G:G)</f>
        <v>610</v>
      </c>
      <c r="F248" s="3" t="n">
        <f aca="false">D248*E248</f>
        <v>20130</v>
      </c>
    </row>
    <row r="249" customFormat="false" ht="15" hidden="false" customHeight="false" outlineLevel="0" collapsed="false">
      <c r="A249" s="0" t="s">
        <v>523</v>
      </c>
      <c r="B249" s="0" t="str">
        <f aca="false">_xlfn.XLOOKUP(A249,Item_Master!A:A,Item_Master!B:B)</f>
        <v>Visko Allen Key Set Imperial</v>
      </c>
      <c r="C249" s="0" t="str">
        <f aca="false">_xlfn.XLOOKUP(A249,Item_Master!A:A,Item_Master!C:C)</f>
        <v>Hand Tools</v>
      </c>
      <c r="D249" s="0" t="n">
        <f aca="false">SUMIFS(Sales!D:D,Sales!C:C,A249)</f>
        <v>100</v>
      </c>
      <c r="E249" s="3" t="n">
        <f aca="false">_xlfn.XLOOKUP(A249,Item_Master!A:A,Item_Master!G:G)</f>
        <v>2970</v>
      </c>
      <c r="F249" s="3" t="n">
        <f aca="false">D249*E249</f>
        <v>297000</v>
      </c>
    </row>
    <row r="250" customFormat="false" ht="15" hidden="false" customHeight="false" outlineLevel="0" collapsed="false">
      <c r="A250" s="0" t="s">
        <v>525</v>
      </c>
      <c r="B250" s="0" t="str">
        <f aca="false">_xlfn.XLOOKUP(A250,Item_Master!A:A,Item_Master!B:B)</f>
        <v>DeWalt Heat Gun 1500W</v>
      </c>
      <c r="C250" s="0" t="str">
        <f aca="false">_xlfn.XLOOKUP(A250,Item_Master!A:A,Item_Master!C:C)</f>
        <v>Power Tools</v>
      </c>
      <c r="D250" s="0" t="n">
        <f aca="false">SUMIFS(Sales!D:D,Sales!C:C,A250)</f>
        <v>95</v>
      </c>
      <c r="E250" s="3" t="n">
        <f aca="false">_xlfn.XLOOKUP(A250,Item_Master!A:A,Item_Master!G:G)</f>
        <v>7660</v>
      </c>
      <c r="F250" s="3" t="n">
        <f aca="false">D250*E250</f>
        <v>727700</v>
      </c>
    </row>
    <row r="251" customFormat="false" ht="15" hidden="false" customHeight="false" outlineLevel="0" collapsed="false">
      <c r="A251" s="0" t="s">
        <v>527</v>
      </c>
      <c r="B251" s="0" t="str">
        <f aca="false">_xlfn.XLOOKUP(A251,Item_Master!A:A,Item_Master!B:B)</f>
        <v>Udyogi High-vis Vest XL</v>
      </c>
      <c r="C251" s="0" t="str">
        <f aca="false">_xlfn.XLOOKUP(A251,Item_Master!A:A,Item_Master!C:C)</f>
        <v>Safety Gear</v>
      </c>
      <c r="D251" s="0" t="n">
        <f aca="false">SUMIFS(Sales!D:D,Sales!C:C,A251)</f>
        <v>46</v>
      </c>
      <c r="E251" s="3" t="n">
        <f aca="false">_xlfn.XLOOKUP(A251,Item_Master!A:A,Item_Master!G:G)</f>
        <v>1720</v>
      </c>
      <c r="F251" s="3" t="n">
        <f aca="false">D251*E251</f>
        <v>79120</v>
      </c>
    </row>
    <row r="252" customFormat="false" ht="15" hidden="false" customHeight="false" outlineLevel="0" collapsed="false">
      <c r="A252" s="0" t="s">
        <v>529</v>
      </c>
      <c r="B252" s="0" t="str">
        <f aca="false">_xlfn.XLOOKUP(A252,Item_Master!A:A,Item_Master!B:B)</f>
        <v>Black &amp; Decker Random Orbit Sander 125mm</v>
      </c>
      <c r="C252" s="0" t="str">
        <f aca="false">_xlfn.XLOOKUP(A252,Item_Master!A:A,Item_Master!C:C)</f>
        <v>Power Tools</v>
      </c>
      <c r="D252" s="0" t="n">
        <f aca="false">SUMIFS(Sales!D:D,Sales!C:C,A252)</f>
        <v>120</v>
      </c>
      <c r="E252" s="3" t="n">
        <f aca="false">_xlfn.XLOOKUP(A252,Item_Master!A:A,Item_Master!G:G)</f>
        <v>11760</v>
      </c>
      <c r="F252" s="3" t="n">
        <f aca="false">D252*E252</f>
        <v>1411200</v>
      </c>
    </row>
    <row r="253" customFormat="false" ht="15" hidden="false" customHeight="false" outlineLevel="0" collapsed="false">
      <c r="A253" s="0" t="s">
        <v>530</v>
      </c>
      <c r="B253" s="0" t="str">
        <f aca="false">_xlfn.XLOOKUP(A253,Item_Master!A:A,Item_Master!B:B)</f>
        <v>Black &amp; Decker Reciprocating Saw Pro</v>
      </c>
      <c r="C253" s="0" t="str">
        <f aca="false">_xlfn.XLOOKUP(A253,Item_Master!A:A,Item_Master!C:C)</f>
        <v>Power Tools</v>
      </c>
      <c r="D253" s="0" t="n">
        <f aca="false">SUMIFS(Sales!D:D,Sales!C:C,A253)</f>
        <v>90</v>
      </c>
      <c r="E253" s="3" t="n">
        <f aca="false">_xlfn.XLOOKUP(A253,Item_Master!A:A,Item_Master!G:G)</f>
        <v>11690</v>
      </c>
      <c r="F253" s="3" t="n">
        <f aca="false">D253*E253</f>
        <v>1052100</v>
      </c>
    </row>
    <row r="254" customFormat="false" ht="15" hidden="false" customHeight="false" outlineLevel="0" collapsed="false">
      <c r="A254" s="0" t="s">
        <v>531</v>
      </c>
      <c r="B254" s="0" t="str">
        <f aca="false">_xlfn.XLOOKUP(A254,Item_Master!A:A,Item_Master!B:B)</f>
        <v>Udyogi Safety Boots Steel Toe</v>
      </c>
      <c r="C254" s="0" t="str">
        <f aca="false">_xlfn.XLOOKUP(A254,Item_Master!A:A,Item_Master!C:C)</f>
        <v>Safety Gear</v>
      </c>
      <c r="D254" s="0" t="n">
        <f aca="false">SUMIFS(Sales!D:D,Sales!C:C,A254)</f>
        <v>402</v>
      </c>
      <c r="E254" s="3" t="n">
        <f aca="false">_xlfn.XLOOKUP(A254,Item_Master!A:A,Item_Master!G:G)</f>
        <v>1620</v>
      </c>
      <c r="F254" s="3" t="n">
        <f aca="false">D254*E254</f>
        <v>651240</v>
      </c>
    </row>
    <row r="255" customFormat="false" ht="15" hidden="false" customHeight="false" outlineLevel="0" collapsed="false">
      <c r="A255" s="0" t="s">
        <v>533</v>
      </c>
      <c r="B255" s="0" t="str">
        <f aca="false">_xlfn.XLOOKUP(A255,Item_Master!A:A,Item_Master!B:B)</f>
        <v>3M Safety Boots Steel Toe</v>
      </c>
      <c r="C255" s="0" t="str">
        <f aca="false">_xlfn.XLOOKUP(A255,Item_Master!A:A,Item_Master!C:C)</f>
        <v>Safety Gear</v>
      </c>
      <c r="D255" s="0" t="n">
        <f aca="false">SUMIFS(Sales!D:D,Sales!C:C,A255)</f>
        <v>85</v>
      </c>
      <c r="E255" s="3" t="n">
        <f aca="false">_xlfn.XLOOKUP(A255,Item_Master!A:A,Item_Master!G:G)</f>
        <v>1720</v>
      </c>
      <c r="F255" s="3" t="n">
        <f aca="false">D255*E255</f>
        <v>146200</v>
      </c>
    </row>
    <row r="256" customFormat="false" ht="15" hidden="false" customHeight="false" outlineLevel="0" collapsed="false">
      <c r="A256" s="0" t="s">
        <v>535</v>
      </c>
      <c r="B256" s="0" t="str">
        <f aca="false">_xlfn.XLOOKUP(A256,Item_Master!A:A,Item_Master!B:B)</f>
        <v>Plaza LED Bulb 15W</v>
      </c>
      <c r="C256" s="0" t="str">
        <f aca="false">_xlfn.XLOOKUP(A256,Item_Master!A:A,Item_Master!C:C)</f>
        <v>Electrical</v>
      </c>
      <c r="D256" s="0" t="n">
        <f aca="false">SUMIFS(Sales!D:D,Sales!C:C,A256)</f>
        <v>55</v>
      </c>
      <c r="E256" s="3" t="n">
        <f aca="false">_xlfn.XLOOKUP(A256,Item_Master!A:A,Item_Master!G:G)</f>
        <v>2420</v>
      </c>
      <c r="F256" s="3" t="n">
        <f aca="false">D256*E256</f>
        <v>133100</v>
      </c>
    </row>
    <row r="257" customFormat="false" ht="15" hidden="false" customHeight="false" outlineLevel="0" collapsed="false">
      <c r="A257" s="0" t="s">
        <v>537</v>
      </c>
      <c r="B257" s="0" t="str">
        <f aca="false">_xlfn.XLOOKUP(A257,Item_Master!A:A,Item_Master!B:B)</f>
        <v>Black &amp; Decker Bench Grinder 6 inch</v>
      </c>
      <c r="C257" s="0" t="str">
        <f aca="false">_xlfn.XLOOKUP(A257,Item_Master!A:A,Item_Master!C:C)</f>
        <v>Power Tools</v>
      </c>
      <c r="D257" s="0" t="n">
        <f aca="false">SUMIFS(Sales!D:D,Sales!C:C,A257)</f>
        <v>116</v>
      </c>
      <c r="E257" s="3" t="n">
        <f aca="false">_xlfn.XLOOKUP(A257,Item_Master!A:A,Item_Master!G:G)</f>
        <v>14760</v>
      </c>
      <c r="F257" s="3" t="n">
        <f aca="false">D257*E257</f>
        <v>1712160</v>
      </c>
    </row>
    <row r="258" customFormat="false" ht="15" hidden="false" customHeight="false" outlineLevel="0" collapsed="false">
      <c r="A258" s="0" t="s">
        <v>539</v>
      </c>
      <c r="B258" s="0" t="str">
        <f aca="false">_xlfn.XLOOKUP(A258,Item_Master!A:A,Item_Master!B:B)</f>
        <v>Wolf-Garten Sprayer 5L</v>
      </c>
      <c r="C258" s="0" t="str">
        <f aca="false">_xlfn.XLOOKUP(A258,Item_Master!A:A,Item_Master!C:C)</f>
        <v>Garden Tools</v>
      </c>
      <c r="D258" s="0" t="n">
        <f aca="false">SUMIFS(Sales!D:D,Sales!C:C,A258)</f>
        <v>46</v>
      </c>
      <c r="E258" s="3" t="n">
        <f aca="false">_xlfn.XLOOKUP(A258,Item_Master!A:A,Item_Master!G:G)</f>
        <v>4960</v>
      </c>
      <c r="F258" s="3" t="n">
        <f aca="false">D258*E258</f>
        <v>228160</v>
      </c>
    </row>
    <row r="259" customFormat="false" ht="15" hidden="false" customHeight="false" outlineLevel="0" collapsed="false">
      <c r="A259" s="0" t="s">
        <v>541</v>
      </c>
      <c r="B259" s="0" t="str">
        <f aca="false">_xlfn.XLOOKUP(A259,Item_Master!A:A,Item_Master!B:B)</f>
        <v>Loctite Wood Glue 500g</v>
      </c>
      <c r="C259" s="0" t="str">
        <f aca="false">_xlfn.XLOOKUP(A259,Item_Master!A:A,Item_Master!C:C)</f>
        <v>Adhesives &amp; Sealants</v>
      </c>
      <c r="D259" s="0" t="n">
        <f aca="false">SUMIFS(Sales!D:D,Sales!C:C,A259)</f>
        <v>73</v>
      </c>
      <c r="E259" s="3" t="n">
        <f aca="false">_xlfn.XLOOKUP(A259,Item_Master!A:A,Item_Master!G:G)</f>
        <v>1160</v>
      </c>
      <c r="F259" s="3" t="n">
        <f aca="false">D259*E259</f>
        <v>84680</v>
      </c>
    </row>
    <row r="260" customFormat="false" ht="15" hidden="false" customHeight="false" outlineLevel="0" collapsed="false">
      <c r="A260" s="0" t="s">
        <v>543</v>
      </c>
      <c r="B260" s="0" t="str">
        <f aca="false">_xlfn.XLOOKUP(A260,Item_Master!A:A,Item_Master!B:B)</f>
        <v>Nerolac Enamel Paint 1L</v>
      </c>
      <c r="C260" s="0" t="str">
        <f aca="false">_xlfn.XLOOKUP(A260,Item_Master!A:A,Item_Master!C:C)</f>
        <v>Paints &amp; Coatings</v>
      </c>
      <c r="D260" s="0" t="n">
        <f aca="false">SUMIFS(Sales!D:D,Sales!C:C,A260)</f>
        <v>195</v>
      </c>
      <c r="E260" s="3" t="n">
        <f aca="false">_xlfn.XLOOKUP(A260,Item_Master!A:A,Item_Master!G:G)</f>
        <v>2550</v>
      </c>
      <c r="F260" s="3" t="n">
        <f aca="false">D260*E260</f>
        <v>497250</v>
      </c>
    </row>
    <row r="261" customFormat="false" ht="15" hidden="false" customHeight="false" outlineLevel="0" collapsed="false">
      <c r="A261" s="0" t="s">
        <v>545</v>
      </c>
      <c r="B261" s="0" t="str">
        <f aca="false">_xlfn.XLOOKUP(A261,Item_Master!A:A,Item_Master!B:B)</f>
        <v>Taparia Claw Hammer 8oz</v>
      </c>
      <c r="C261" s="0" t="str">
        <f aca="false">_xlfn.XLOOKUP(A261,Item_Master!A:A,Item_Master!C:C)</f>
        <v>Hand Tools</v>
      </c>
      <c r="D261" s="0" t="n">
        <f aca="false">SUMIFS(Sales!D:D,Sales!C:C,A261)</f>
        <v>95</v>
      </c>
      <c r="E261" s="3" t="n">
        <f aca="false">_xlfn.XLOOKUP(A261,Item_Master!A:A,Item_Master!G:G)</f>
        <v>1370</v>
      </c>
      <c r="F261" s="3" t="n">
        <f aca="false">D261*E261</f>
        <v>130150</v>
      </c>
    </row>
    <row r="262" customFormat="false" ht="15" hidden="false" customHeight="false" outlineLevel="0" collapsed="false">
      <c r="A262" s="0" t="s">
        <v>547</v>
      </c>
      <c r="B262" s="0" t="str">
        <f aca="false">_xlfn.XLOOKUP(A262,Item_Master!A:A,Item_Master!B:B)</f>
        <v>Fevicol Masking Tape 48mm</v>
      </c>
      <c r="C262" s="0" t="str">
        <f aca="false">_xlfn.XLOOKUP(A262,Item_Master!A:A,Item_Master!C:C)</f>
        <v>Adhesives &amp; Sealants</v>
      </c>
      <c r="D262" s="0" t="n">
        <f aca="false">SUMIFS(Sales!D:D,Sales!C:C,A262)</f>
        <v>6</v>
      </c>
      <c r="E262" s="3" t="n">
        <f aca="false">_xlfn.XLOOKUP(A262,Item_Master!A:A,Item_Master!G:G)</f>
        <v>740</v>
      </c>
      <c r="F262" s="3" t="n">
        <f aca="false">D262*E262</f>
        <v>4440</v>
      </c>
    </row>
    <row r="263" customFormat="false" ht="15" hidden="false" customHeight="false" outlineLevel="0" collapsed="false">
      <c r="A263" s="0" t="s">
        <v>549</v>
      </c>
      <c r="B263" s="0" t="str">
        <f aca="false">_xlfn.XLOOKUP(A263,Item_Master!A:A,Item_Master!B:B)</f>
        <v>Bosch Bench Grinder 6 inch</v>
      </c>
      <c r="C263" s="0" t="str">
        <f aca="false">_xlfn.XLOOKUP(A263,Item_Master!A:A,Item_Master!C:C)</f>
        <v>Power Tools</v>
      </c>
      <c r="D263" s="0" t="n">
        <f aca="false">SUMIFS(Sales!D:D,Sales!C:C,A263)</f>
        <v>60</v>
      </c>
      <c r="E263" s="3" t="n">
        <f aca="false">_xlfn.XLOOKUP(A263,Item_Master!A:A,Item_Master!G:G)</f>
        <v>11350</v>
      </c>
      <c r="F263" s="3" t="n">
        <f aca="false">D263*E263</f>
        <v>681000</v>
      </c>
    </row>
    <row r="264" customFormat="false" ht="15" hidden="false" customHeight="false" outlineLevel="0" collapsed="false">
      <c r="A264" s="0" t="s">
        <v>551</v>
      </c>
      <c r="B264" s="0" t="str">
        <f aca="false">_xlfn.XLOOKUP(A264,Item_Master!A:A,Item_Master!B:B)</f>
        <v>Makita Jig Saw Variable Speed</v>
      </c>
      <c r="C264" s="0" t="str">
        <f aca="false">_xlfn.XLOOKUP(A264,Item_Master!A:A,Item_Master!C:C)</f>
        <v>Power Tools</v>
      </c>
      <c r="D264" s="0" t="n">
        <f aca="false">SUMIFS(Sales!D:D,Sales!C:C,A264)</f>
        <v>45</v>
      </c>
      <c r="E264" s="3" t="n">
        <f aca="false">_xlfn.XLOOKUP(A264,Item_Master!A:A,Item_Master!G:G)</f>
        <v>11920</v>
      </c>
      <c r="F264" s="3" t="n">
        <f aca="false">D264*E264</f>
        <v>536400</v>
      </c>
    </row>
    <row r="265" customFormat="false" ht="15" hidden="false" customHeight="false" outlineLevel="0" collapsed="false">
      <c r="A265" s="0" t="s">
        <v>553</v>
      </c>
      <c r="B265" s="0" t="str">
        <f aca="false">_xlfn.XLOOKUP(A265,Item_Master!A:A,Item_Master!B:B)</f>
        <v>Crompton Bench Grinder 8 inch</v>
      </c>
      <c r="C265" s="0" t="str">
        <f aca="false">_xlfn.XLOOKUP(A265,Item_Master!A:A,Item_Master!C:C)</f>
        <v>Power Tools</v>
      </c>
      <c r="D265" s="0" t="n">
        <f aca="false">SUMIFS(Sales!D:D,Sales!C:C,A265)</f>
        <v>43</v>
      </c>
      <c r="E265" s="3" t="n">
        <f aca="false">_xlfn.XLOOKUP(A265,Item_Master!A:A,Item_Master!G:G)</f>
        <v>5750</v>
      </c>
      <c r="F265" s="3" t="n">
        <f aca="false">D265*E265</f>
        <v>247250</v>
      </c>
    </row>
    <row r="266" customFormat="false" ht="15" hidden="false" customHeight="false" outlineLevel="0" collapsed="false">
      <c r="A266" s="0" t="s">
        <v>555</v>
      </c>
      <c r="B266" s="0" t="str">
        <f aca="false">_xlfn.XLOOKUP(A266,Item_Master!A:A,Item_Master!B:B)</f>
        <v>Berger Distemper 5kg</v>
      </c>
      <c r="C266" s="0" t="str">
        <f aca="false">_xlfn.XLOOKUP(A266,Item_Master!A:A,Item_Master!C:C)</f>
        <v>Paints &amp; Coatings</v>
      </c>
      <c r="D266" s="0" t="n">
        <f aca="false">SUMIFS(Sales!D:D,Sales!C:C,A266)</f>
        <v>64</v>
      </c>
      <c r="E266" s="3" t="n">
        <f aca="false">_xlfn.XLOOKUP(A266,Item_Master!A:A,Item_Master!G:G)</f>
        <v>2370</v>
      </c>
      <c r="F266" s="3" t="n">
        <f aca="false">D266*E266</f>
        <v>151680</v>
      </c>
    </row>
    <row r="267" customFormat="false" ht="15" hidden="false" customHeight="false" outlineLevel="0" collapsed="false">
      <c r="A267" s="0" t="s">
        <v>557</v>
      </c>
      <c r="B267" s="0" t="str">
        <f aca="false">_xlfn.XLOOKUP(A267,Item_Master!A:A,Item_Master!B:B)</f>
        <v>Supreme PVC Elbow 1 inch</v>
      </c>
      <c r="C267" s="0" t="str">
        <f aca="false">_xlfn.XLOOKUP(A267,Item_Master!A:A,Item_Master!C:C)</f>
        <v>Plumbing</v>
      </c>
      <c r="D267" s="0" t="n">
        <f aca="false">SUMIFS(Sales!D:D,Sales!C:C,A267)</f>
        <v>230</v>
      </c>
      <c r="E267" s="3" t="n">
        <f aca="false">_xlfn.XLOOKUP(A267,Item_Master!A:A,Item_Master!G:G)</f>
        <v>1080</v>
      </c>
      <c r="F267" s="3" t="n">
        <f aca="false">D267*E267</f>
        <v>248400</v>
      </c>
    </row>
    <row r="268" customFormat="false" ht="15" hidden="false" customHeight="false" outlineLevel="0" collapsed="false">
      <c r="A268" s="0" t="s">
        <v>559</v>
      </c>
      <c r="B268" s="0" t="str">
        <f aca="false">_xlfn.XLOOKUP(A268,Item_Master!A:A,Item_Master!B:B)</f>
        <v>Black &amp; Decker Cordless Drill 20V Pro</v>
      </c>
      <c r="C268" s="0" t="str">
        <f aca="false">_xlfn.XLOOKUP(A268,Item_Master!A:A,Item_Master!C:C)</f>
        <v>Power Tools</v>
      </c>
      <c r="D268" s="0" t="n">
        <f aca="false">SUMIFS(Sales!D:D,Sales!C:C,A268)</f>
        <v>133</v>
      </c>
      <c r="E268" s="3" t="n">
        <f aca="false">_xlfn.XLOOKUP(A268,Item_Master!A:A,Item_Master!G:G)</f>
        <v>8870</v>
      </c>
      <c r="F268" s="3" t="n">
        <f aca="false">D268*E268</f>
        <v>1179710</v>
      </c>
    </row>
    <row r="269" customFormat="false" ht="15" hidden="false" customHeight="false" outlineLevel="0" collapsed="false">
      <c r="A269" s="0" t="s">
        <v>561</v>
      </c>
      <c r="B269" s="0" t="str">
        <f aca="false">_xlfn.XLOOKUP(A269,Item_Master!A:A,Item_Master!B:B)</f>
        <v>Asian Paints Wood Varnish 1L</v>
      </c>
      <c r="C269" s="0" t="str">
        <f aca="false">_xlfn.XLOOKUP(A269,Item_Master!A:A,Item_Master!C:C)</f>
        <v>Paints &amp; Coatings</v>
      </c>
      <c r="D269" s="0" t="n">
        <f aca="false">SUMIFS(Sales!D:D,Sales!C:C,A269)</f>
        <v>69</v>
      </c>
      <c r="E269" s="3" t="n">
        <f aca="false">_xlfn.XLOOKUP(A269,Item_Master!A:A,Item_Master!G:G)</f>
        <v>1800</v>
      </c>
      <c r="F269" s="3" t="n">
        <f aca="false">D269*E269</f>
        <v>124200</v>
      </c>
    </row>
    <row r="270" customFormat="false" ht="15" hidden="false" customHeight="false" outlineLevel="0" collapsed="false">
      <c r="A270" s="0" t="s">
        <v>562</v>
      </c>
      <c r="B270" s="0" t="str">
        <f aca="false">_xlfn.XLOOKUP(A270,Item_Master!A:A,Item_Master!B:B)</f>
        <v>Prince Teflon Tape 19mm</v>
      </c>
      <c r="C270" s="0" t="str">
        <f aca="false">_xlfn.XLOOKUP(A270,Item_Master!A:A,Item_Master!C:C)</f>
        <v>Plumbing</v>
      </c>
      <c r="D270" s="0" t="n">
        <f aca="false">SUMIFS(Sales!D:D,Sales!C:C,A270)</f>
        <v>145</v>
      </c>
      <c r="E270" s="3" t="n">
        <f aca="false">_xlfn.XLOOKUP(A270,Item_Master!A:A,Item_Master!G:G)</f>
        <v>1430</v>
      </c>
      <c r="F270" s="3" t="n">
        <f aca="false">D270*E270</f>
        <v>207350</v>
      </c>
    </row>
    <row r="271" customFormat="false" ht="15" hidden="false" customHeight="false" outlineLevel="0" collapsed="false">
      <c r="A271" s="0" t="s">
        <v>564</v>
      </c>
      <c r="B271" s="0" t="str">
        <f aca="false">_xlfn.XLOOKUP(A271,Item_Master!A:A,Item_Master!B:B)</f>
        <v>Fevicol M-Seal 50g</v>
      </c>
      <c r="C271" s="0" t="str">
        <f aca="false">_xlfn.XLOOKUP(A271,Item_Master!A:A,Item_Master!C:C)</f>
        <v>Adhesives &amp; Sealants</v>
      </c>
      <c r="D271" s="0" t="n">
        <f aca="false">SUMIFS(Sales!D:D,Sales!C:C,A271)</f>
        <v>98</v>
      </c>
      <c r="E271" s="3" t="n">
        <f aca="false">_xlfn.XLOOKUP(A271,Item_Master!A:A,Item_Master!G:G)</f>
        <v>1010</v>
      </c>
      <c r="F271" s="3" t="n">
        <f aca="false">D271*E271</f>
        <v>98980</v>
      </c>
    </row>
    <row r="272" customFormat="false" ht="15" hidden="false" customHeight="false" outlineLevel="0" collapsed="false">
      <c r="A272" s="0" t="s">
        <v>566</v>
      </c>
      <c r="B272" s="0" t="str">
        <f aca="false">_xlfn.XLOOKUP(A272,Item_Master!A:A,Item_Master!B:B)</f>
        <v>Pye Adjustable Wrench 12 inch</v>
      </c>
      <c r="C272" s="0" t="str">
        <f aca="false">_xlfn.XLOOKUP(A272,Item_Master!A:A,Item_Master!C:C)</f>
        <v>Hand Tools</v>
      </c>
      <c r="D272" s="0" t="n">
        <f aca="false">SUMIFS(Sales!D:D,Sales!C:C,A272)</f>
        <v>63</v>
      </c>
      <c r="E272" s="3" t="n">
        <f aca="false">_xlfn.XLOOKUP(A272,Item_Master!A:A,Item_Master!G:G)</f>
        <v>1700</v>
      </c>
      <c r="F272" s="3" t="n">
        <f aca="false">D272*E272</f>
        <v>107100</v>
      </c>
    </row>
    <row r="273" customFormat="false" ht="15" hidden="false" customHeight="false" outlineLevel="0" collapsed="false">
      <c r="A273" s="0" t="s">
        <v>567</v>
      </c>
      <c r="B273" s="0" t="str">
        <f aca="false">_xlfn.XLOOKUP(A273,Item_Master!A:A,Item_Master!B:B)</f>
        <v>3M Insulation Tape 18mm</v>
      </c>
      <c r="C273" s="0" t="str">
        <f aca="false">_xlfn.XLOOKUP(A273,Item_Master!A:A,Item_Master!C:C)</f>
        <v>Adhesives &amp; Sealants</v>
      </c>
      <c r="D273" s="0" t="n">
        <f aca="false">SUMIFS(Sales!D:D,Sales!C:C,A273)</f>
        <v>106</v>
      </c>
      <c r="E273" s="3" t="n">
        <f aca="false">_xlfn.XLOOKUP(A273,Item_Master!A:A,Item_Master!G:G)</f>
        <v>890</v>
      </c>
      <c r="F273" s="3" t="n">
        <f aca="false">D273*E273</f>
        <v>94340</v>
      </c>
    </row>
    <row r="274" customFormat="false" ht="15" hidden="false" customHeight="false" outlineLevel="0" collapsed="false">
      <c r="A274" s="0" t="s">
        <v>569</v>
      </c>
      <c r="B274" s="0" t="str">
        <f aca="false">_xlfn.XLOOKUP(A274,Item_Master!A:A,Item_Master!B:B)</f>
        <v>Taparia Screwdriver Set 6 pc</v>
      </c>
      <c r="C274" s="0" t="str">
        <f aca="false">_xlfn.XLOOKUP(A274,Item_Master!A:A,Item_Master!C:C)</f>
        <v>Hand Tools</v>
      </c>
      <c r="D274" s="0" t="n">
        <f aca="false">SUMIFS(Sales!D:D,Sales!C:C,A274)</f>
        <v>180</v>
      </c>
      <c r="E274" s="3" t="n">
        <f aca="false">_xlfn.XLOOKUP(A274,Item_Master!A:A,Item_Master!G:G)</f>
        <v>1780</v>
      </c>
      <c r="F274" s="3" t="n">
        <f aca="false">D274*E274</f>
        <v>320400</v>
      </c>
    </row>
    <row r="275" customFormat="false" ht="15" hidden="false" customHeight="false" outlineLevel="0" collapsed="false">
      <c r="A275" s="0" t="s">
        <v>570</v>
      </c>
      <c r="B275" s="0" t="str">
        <f aca="false">_xlfn.XLOOKUP(A275,Item_Master!A:A,Item_Master!B:B)</f>
        <v>Ashirvad Shower Head Rainfall</v>
      </c>
      <c r="C275" s="0" t="str">
        <f aca="false">_xlfn.XLOOKUP(A275,Item_Master!A:A,Item_Master!C:C)</f>
        <v>Plumbing</v>
      </c>
      <c r="D275" s="0" t="n">
        <f aca="false">SUMIFS(Sales!D:D,Sales!C:C,A275)</f>
        <v>63</v>
      </c>
      <c r="E275" s="3" t="n">
        <f aca="false">_xlfn.XLOOKUP(A275,Item_Master!A:A,Item_Master!G:G)</f>
        <v>1580</v>
      </c>
      <c r="F275" s="3" t="n">
        <f aca="false">D275*E275</f>
        <v>99540</v>
      </c>
    </row>
    <row r="276" customFormat="false" ht="15" hidden="false" customHeight="false" outlineLevel="0" collapsed="false">
      <c r="A276" s="0" t="s">
        <v>571</v>
      </c>
      <c r="B276" s="0" t="str">
        <f aca="false">_xlfn.XLOOKUP(A276,Item_Master!A:A,Item_Master!B:B)</f>
        <v>Nerolac Interior Emulsion 4L</v>
      </c>
      <c r="C276" s="0" t="str">
        <f aca="false">_xlfn.XLOOKUP(A276,Item_Master!A:A,Item_Master!C:C)</f>
        <v>Paints &amp; Coatings</v>
      </c>
      <c r="D276" s="0" t="n">
        <f aca="false">SUMIFS(Sales!D:D,Sales!C:C,A276)</f>
        <v>45</v>
      </c>
      <c r="E276" s="3" t="n">
        <f aca="false">_xlfn.XLOOKUP(A276,Item_Master!A:A,Item_Master!G:G)</f>
        <v>1480</v>
      </c>
      <c r="F276" s="3" t="n">
        <f aca="false">D276*E276</f>
        <v>66600</v>
      </c>
    </row>
    <row r="277" customFormat="false" ht="15" hidden="false" customHeight="false" outlineLevel="0" collapsed="false">
      <c r="A277" s="0" t="s">
        <v>573</v>
      </c>
      <c r="B277" s="0" t="str">
        <f aca="false">_xlfn.XLOOKUP(A277,Item_Master!A:A,Item_Master!B:B)</f>
        <v>TVS Tape Measure 3m</v>
      </c>
      <c r="C277" s="0" t="str">
        <f aca="false">_xlfn.XLOOKUP(A277,Item_Master!A:A,Item_Master!C:C)</f>
        <v>Hand Tools</v>
      </c>
      <c r="D277" s="0" t="n">
        <f aca="false">SUMIFS(Sales!D:D,Sales!C:C,A277)</f>
        <v>32</v>
      </c>
      <c r="E277" s="3" t="n">
        <f aca="false">_xlfn.XLOOKUP(A277,Item_Master!A:A,Item_Master!G:G)</f>
        <v>2050</v>
      </c>
      <c r="F277" s="3" t="n">
        <f aca="false">D277*E277</f>
        <v>65600</v>
      </c>
    </row>
    <row r="278" customFormat="false" ht="15" hidden="false" customHeight="false" outlineLevel="0" collapsed="false">
      <c r="A278" s="0" t="s">
        <v>574</v>
      </c>
      <c r="B278" s="0" t="str">
        <f aca="false">_xlfn.XLOOKUP(A278,Item_Master!A:A,Item_Master!B:B)</f>
        <v>Hafele Door Eye Standard</v>
      </c>
      <c r="C278" s="0" t="str">
        <f aca="false">_xlfn.XLOOKUP(A278,Item_Master!A:A,Item_Master!C:C)</f>
        <v>Hardware</v>
      </c>
      <c r="D278" s="0" t="n">
        <f aca="false">SUMIFS(Sales!D:D,Sales!C:C,A278)</f>
        <v>155</v>
      </c>
      <c r="E278" s="3" t="n">
        <f aca="false">_xlfn.XLOOKUP(A278,Item_Master!A:A,Item_Master!G:G)</f>
        <v>2760</v>
      </c>
      <c r="F278" s="3" t="n">
        <f aca="false">D278*E278</f>
        <v>427800</v>
      </c>
    </row>
    <row r="279" customFormat="false" ht="15" hidden="false" customHeight="false" outlineLevel="0" collapsed="false">
      <c r="A279" s="0" t="s">
        <v>575</v>
      </c>
      <c r="B279" s="0" t="str">
        <f aca="false">_xlfn.XLOOKUP(A279,Item_Master!A:A,Item_Master!B:B)</f>
        <v>Bosch Bench Grinder 8 inch</v>
      </c>
      <c r="C279" s="0" t="str">
        <f aca="false">_xlfn.XLOOKUP(A279,Item_Master!A:A,Item_Master!C:C)</f>
        <v>Power Tools</v>
      </c>
      <c r="D279" s="0" t="n">
        <f aca="false">SUMIFS(Sales!D:D,Sales!C:C,A279)</f>
        <v>70</v>
      </c>
      <c r="E279" s="3" t="n">
        <f aca="false">_xlfn.XLOOKUP(A279,Item_Master!A:A,Item_Master!G:G)</f>
        <v>11890</v>
      </c>
      <c r="F279" s="3" t="n">
        <f aca="false">D279*E279</f>
        <v>832300</v>
      </c>
    </row>
    <row r="280" customFormat="false" ht="15" hidden="false" customHeight="false" outlineLevel="0" collapsed="false">
      <c r="A280" s="0" t="s">
        <v>577</v>
      </c>
      <c r="B280" s="0" t="str">
        <f aca="false">_xlfn.XLOOKUP(A280,Item_Master!A:A,Item_Master!B:B)</f>
        <v>3M Double-sided Tape 24mm</v>
      </c>
      <c r="C280" s="0" t="str">
        <f aca="false">_xlfn.XLOOKUP(A280,Item_Master!A:A,Item_Master!C:C)</f>
        <v>Adhesives &amp; Sealants</v>
      </c>
      <c r="D280" s="0" t="n">
        <f aca="false">SUMIFS(Sales!D:D,Sales!C:C,A280)</f>
        <v>143</v>
      </c>
      <c r="E280" s="3" t="n">
        <f aca="false">_xlfn.XLOOKUP(A280,Item_Master!A:A,Item_Master!G:G)</f>
        <v>1390</v>
      </c>
      <c r="F280" s="3" t="n">
        <f aca="false">D280*E280</f>
        <v>198770</v>
      </c>
    </row>
    <row r="281" customFormat="false" ht="15" hidden="false" customHeight="false" outlineLevel="0" collapsed="false">
      <c r="A281" s="0" t="s">
        <v>579</v>
      </c>
      <c r="B281" s="0" t="str">
        <f aca="false">_xlfn.XLOOKUP(A281,Item_Master!A:A,Item_Master!B:B)</f>
        <v>Polycab LED Bulb 15W</v>
      </c>
      <c r="C281" s="0" t="str">
        <f aca="false">_xlfn.XLOOKUP(A281,Item_Master!A:A,Item_Master!C:C)</f>
        <v>Electrical</v>
      </c>
      <c r="D281" s="0" t="n">
        <f aca="false">SUMIFS(Sales!D:D,Sales!C:C,A281)</f>
        <v>137</v>
      </c>
      <c r="E281" s="3" t="n">
        <f aca="false">_xlfn.XLOOKUP(A281,Item_Master!A:A,Item_Master!G:G)</f>
        <v>1880</v>
      </c>
      <c r="F281" s="3" t="n">
        <f aca="false">D281*E281</f>
        <v>257560</v>
      </c>
    </row>
    <row r="282" customFormat="false" ht="15" hidden="false" customHeight="false" outlineLevel="0" collapsed="false">
      <c r="A282" s="0" t="s">
        <v>580</v>
      </c>
      <c r="B282" s="0" t="str">
        <f aca="false">_xlfn.XLOOKUP(A282,Item_Master!A:A,Item_Master!B:B)</f>
        <v>Makita Random Orbit Sander 150mm</v>
      </c>
      <c r="C282" s="0" t="str">
        <f aca="false">_xlfn.XLOOKUP(A282,Item_Master!A:A,Item_Master!C:C)</f>
        <v>Power Tools</v>
      </c>
      <c r="D282" s="0" t="n">
        <f aca="false">SUMIFS(Sales!D:D,Sales!C:C,A282)</f>
        <v>17</v>
      </c>
      <c r="E282" s="3" t="n">
        <f aca="false">_xlfn.XLOOKUP(A282,Item_Master!A:A,Item_Master!G:G)</f>
        <v>24180</v>
      </c>
      <c r="F282" s="3" t="n">
        <f aca="false">D282*E282</f>
        <v>411060</v>
      </c>
    </row>
    <row r="283" customFormat="false" ht="15" hidden="false" customHeight="false" outlineLevel="0" collapsed="false">
      <c r="A283" s="0" t="s">
        <v>582</v>
      </c>
      <c r="B283" s="0" t="str">
        <f aca="false">_xlfn.XLOOKUP(A283,Item_Master!A:A,Item_Master!B:B)</f>
        <v>Black &amp; Decker Cordless Drill 18V</v>
      </c>
      <c r="C283" s="0" t="str">
        <f aca="false">_xlfn.XLOOKUP(A283,Item_Master!A:A,Item_Master!C:C)</f>
        <v>Power Tools</v>
      </c>
      <c r="D283" s="0" t="n">
        <f aca="false">SUMIFS(Sales!D:D,Sales!C:C,A283)</f>
        <v>178</v>
      </c>
      <c r="E283" s="3" t="n">
        <f aca="false">_xlfn.XLOOKUP(A283,Item_Master!A:A,Item_Master!G:G)</f>
        <v>19290</v>
      </c>
      <c r="F283" s="3" t="n">
        <f aca="false">D283*E283</f>
        <v>3433620</v>
      </c>
    </row>
    <row r="284" customFormat="false" ht="15" hidden="false" customHeight="false" outlineLevel="0" collapsed="false">
      <c r="A284" s="0" t="s">
        <v>584</v>
      </c>
      <c r="B284" s="0" t="str">
        <f aca="false">_xlfn.XLOOKUP(A284,Item_Master!A:A,Item_Master!B:B)</f>
        <v>DeWalt Heat Gun 2000W</v>
      </c>
      <c r="C284" s="0" t="str">
        <f aca="false">_xlfn.XLOOKUP(A284,Item_Master!A:A,Item_Master!C:C)</f>
        <v>Power Tools</v>
      </c>
      <c r="D284" s="0" t="n">
        <f aca="false">SUMIFS(Sales!D:D,Sales!C:C,A284)</f>
        <v>142</v>
      </c>
      <c r="E284" s="3" t="n">
        <f aca="false">_xlfn.XLOOKUP(A284,Item_Master!A:A,Item_Master!G:G)</f>
        <v>8280</v>
      </c>
      <c r="F284" s="3" t="n">
        <f aca="false">D284*E284</f>
        <v>1175760</v>
      </c>
    </row>
    <row r="285" customFormat="false" ht="15" hidden="false" customHeight="false" outlineLevel="0" collapsed="false">
      <c r="A285" s="0" t="s">
        <v>586</v>
      </c>
      <c r="B285" s="0" t="str">
        <f aca="false">_xlfn.XLOOKUP(A285,Item_Master!A:A,Item_Master!B:B)</f>
        <v>Astral Pillar Cock Standard</v>
      </c>
      <c r="C285" s="0" t="str">
        <f aca="false">_xlfn.XLOOKUP(A285,Item_Master!A:A,Item_Master!C:C)</f>
        <v>Plumbing</v>
      </c>
      <c r="D285" s="0" t="n">
        <f aca="false">SUMIFS(Sales!D:D,Sales!C:C,A285)</f>
        <v>135</v>
      </c>
      <c r="E285" s="3" t="n">
        <f aca="false">_xlfn.XLOOKUP(A285,Item_Master!A:A,Item_Master!G:G)</f>
        <v>1700</v>
      </c>
      <c r="F285" s="3" t="n">
        <f aca="false">D285*E285</f>
        <v>229500</v>
      </c>
    </row>
    <row r="286" customFormat="false" ht="15" hidden="false" customHeight="false" outlineLevel="0" collapsed="false">
      <c r="A286" s="0" t="s">
        <v>588</v>
      </c>
      <c r="B286" s="0" t="str">
        <f aca="false">_xlfn.XLOOKUP(A286,Item_Master!A:A,Item_Master!B:B)</f>
        <v>Havells LED Tube Light 22W</v>
      </c>
      <c r="C286" s="0" t="str">
        <f aca="false">_xlfn.XLOOKUP(A286,Item_Master!A:A,Item_Master!C:C)</f>
        <v>Electrical</v>
      </c>
      <c r="D286" s="0" t="n">
        <f aca="false">SUMIFS(Sales!D:D,Sales!C:C,A286)</f>
        <v>133</v>
      </c>
      <c r="E286" s="3" t="n">
        <f aca="false">_xlfn.XLOOKUP(A286,Item_Master!A:A,Item_Master!G:G)</f>
        <v>3070</v>
      </c>
      <c r="F286" s="3" t="n">
        <f aca="false">D286*E286</f>
        <v>408310</v>
      </c>
    </row>
    <row r="287" customFormat="false" ht="15" hidden="false" customHeight="false" outlineLevel="0" collapsed="false">
      <c r="A287" s="0" t="s">
        <v>590</v>
      </c>
      <c r="B287" s="0" t="str">
        <f aca="false">_xlfn.XLOOKUP(A287,Item_Master!A:A,Item_Master!B:B)</f>
        <v>Mallcom High-vis Vest L</v>
      </c>
      <c r="C287" s="0" t="str">
        <f aca="false">_xlfn.XLOOKUP(A287,Item_Master!A:A,Item_Master!C:C)</f>
        <v>Safety Gear</v>
      </c>
      <c r="D287" s="0" t="n">
        <f aca="false">SUMIFS(Sales!D:D,Sales!C:C,A287)</f>
        <v>78</v>
      </c>
      <c r="E287" s="3" t="n">
        <f aca="false">_xlfn.XLOOKUP(A287,Item_Master!A:A,Item_Master!G:G)</f>
        <v>1850</v>
      </c>
      <c r="F287" s="3" t="n">
        <f aca="false">D287*E287</f>
        <v>144300</v>
      </c>
    </row>
    <row r="288" customFormat="false" ht="15" hidden="false" customHeight="false" outlineLevel="0" collapsed="false">
      <c r="A288" s="0" t="s">
        <v>592</v>
      </c>
      <c r="B288" s="0" t="str">
        <f aca="false">_xlfn.XLOOKUP(A288,Item_Master!A:A,Item_Master!B:B)</f>
        <v>Crompton MCB 32A</v>
      </c>
      <c r="C288" s="0" t="str">
        <f aca="false">_xlfn.XLOOKUP(A288,Item_Master!A:A,Item_Master!C:C)</f>
        <v>Electrical</v>
      </c>
      <c r="D288" s="0" t="n">
        <f aca="false">SUMIFS(Sales!D:D,Sales!C:C,A288)</f>
        <v>114</v>
      </c>
      <c r="E288" s="3" t="n">
        <f aca="false">_xlfn.XLOOKUP(A288,Item_Master!A:A,Item_Master!G:G)</f>
        <v>3190</v>
      </c>
      <c r="F288" s="3" t="n">
        <f aca="false">D288*E288</f>
        <v>363660</v>
      </c>
    </row>
    <row r="289" customFormat="false" ht="15" hidden="false" customHeight="false" outlineLevel="0" collapsed="false">
      <c r="A289" s="0" t="s">
        <v>594</v>
      </c>
      <c r="B289" s="0" t="str">
        <f aca="false">_xlfn.XLOOKUP(A289,Item_Master!A:A,Item_Master!B:B)</f>
        <v>Anchor Ceiling Fan 52 inch</v>
      </c>
      <c r="C289" s="0" t="str">
        <f aca="false">_xlfn.XLOOKUP(A289,Item_Master!A:A,Item_Master!C:C)</f>
        <v>Electrical</v>
      </c>
      <c r="D289" s="0" t="n">
        <f aca="false">SUMIFS(Sales!D:D,Sales!C:C,A289)</f>
        <v>27</v>
      </c>
      <c r="E289" s="3" t="n">
        <f aca="false">_xlfn.XLOOKUP(A289,Item_Master!A:A,Item_Master!G:G)</f>
        <v>2540</v>
      </c>
      <c r="F289" s="3" t="n">
        <f aca="false">D289*E289</f>
        <v>68580</v>
      </c>
    </row>
    <row r="290" customFormat="false" ht="15" hidden="false" customHeight="false" outlineLevel="0" collapsed="false">
      <c r="A290" s="0" t="s">
        <v>596</v>
      </c>
      <c r="B290" s="0" t="str">
        <f aca="false">_xlfn.XLOOKUP(A290,Item_Master!A:A,Item_Master!B:B)</f>
        <v>DeWalt Jig Saw Standard</v>
      </c>
      <c r="C290" s="0" t="str">
        <f aca="false">_xlfn.XLOOKUP(A290,Item_Master!A:A,Item_Master!C:C)</f>
        <v>Power Tools</v>
      </c>
      <c r="D290" s="0" t="n">
        <f aca="false">SUMIFS(Sales!D:D,Sales!C:C,A290)</f>
        <v>1</v>
      </c>
      <c r="E290" s="3" t="n">
        <f aca="false">_xlfn.XLOOKUP(A290,Item_Master!A:A,Item_Master!G:G)</f>
        <v>15170</v>
      </c>
      <c r="F290" s="3" t="n">
        <f aca="false">D290*E290</f>
        <v>15170</v>
      </c>
    </row>
    <row r="291" customFormat="false" ht="15" hidden="false" customHeight="false" outlineLevel="0" collapsed="false">
      <c r="A291" s="0" t="s">
        <v>597</v>
      </c>
      <c r="B291" s="0" t="str">
        <f aca="false">_xlfn.XLOOKUP(A291,Item_Master!A:A,Item_Master!B:B)</f>
        <v>Black &amp; Decker Jig Saw Pro</v>
      </c>
      <c r="C291" s="0" t="str">
        <f aca="false">_xlfn.XLOOKUP(A291,Item_Master!A:A,Item_Master!C:C)</f>
        <v>Power Tools</v>
      </c>
      <c r="D291" s="0" t="n">
        <f aca="false">SUMIFS(Sales!D:D,Sales!C:C,A291)</f>
        <v>29</v>
      </c>
      <c r="E291" s="3" t="n">
        <f aca="false">_xlfn.XLOOKUP(A291,Item_Master!A:A,Item_Master!G:G)</f>
        <v>15930</v>
      </c>
      <c r="F291" s="3" t="n">
        <f aca="false">D291*E291</f>
        <v>461970</v>
      </c>
    </row>
    <row r="292" customFormat="false" ht="15" hidden="false" customHeight="false" outlineLevel="0" collapsed="false">
      <c r="A292" s="0" t="s">
        <v>599</v>
      </c>
      <c r="B292" s="0" t="str">
        <f aca="false">_xlfn.XLOOKUP(A292,Item_Master!A:A,Item_Master!B:B)</f>
        <v>Stanley Spanner Set 8 pc</v>
      </c>
      <c r="C292" s="0" t="str">
        <f aca="false">_xlfn.XLOOKUP(A292,Item_Master!A:A,Item_Master!C:C)</f>
        <v>Hand Tools</v>
      </c>
      <c r="D292" s="0" t="n">
        <f aca="false">SUMIFS(Sales!D:D,Sales!C:C,A292)</f>
        <v>14</v>
      </c>
      <c r="E292" s="3" t="n">
        <f aca="false">_xlfn.XLOOKUP(A292,Item_Master!A:A,Item_Master!G:G)</f>
        <v>950</v>
      </c>
      <c r="F292" s="3" t="n">
        <f aca="false">D292*E292</f>
        <v>13300</v>
      </c>
    </row>
    <row r="293" customFormat="false" ht="15" hidden="false" customHeight="false" outlineLevel="0" collapsed="false">
      <c r="A293" s="0" t="s">
        <v>601</v>
      </c>
      <c r="B293" s="0" t="str">
        <f aca="false">_xlfn.XLOOKUP(A293,Item_Master!A:A,Item_Master!B:B)</f>
        <v>Anchor PVC Conduit 20mm</v>
      </c>
      <c r="C293" s="0" t="str">
        <f aca="false">_xlfn.XLOOKUP(A293,Item_Master!A:A,Item_Master!C:C)</f>
        <v>Electrical</v>
      </c>
      <c r="D293" s="0" t="n">
        <f aca="false">SUMIFS(Sales!D:D,Sales!C:C,A293)</f>
        <v>119</v>
      </c>
      <c r="E293" s="3" t="n">
        <f aca="false">_xlfn.XLOOKUP(A293,Item_Master!A:A,Item_Master!G:G)</f>
        <v>2240</v>
      </c>
      <c r="F293" s="3" t="n">
        <f aca="false">D293*E293</f>
        <v>266560</v>
      </c>
    </row>
    <row r="294" customFormat="false" ht="15" hidden="false" customHeight="false" outlineLevel="0" collapsed="false">
      <c r="A294" s="0" t="s">
        <v>603</v>
      </c>
      <c r="B294" s="0" t="str">
        <f aca="false">_xlfn.XLOOKUP(A294,Item_Master!A:A,Item_Master!B:B)</f>
        <v>Araldite Insulation Foam 750ml</v>
      </c>
      <c r="C294" s="0" t="str">
        <f aca="false">_xlfn.XLOOKUP(A294,Item_Master!A:A,Item_Master!C:C)</f>
        <v>Adhesives &amp; Sealants</v>
      </c>
      <c r="D294" s="0" t="n">
        <f aca="false">SUMIFS(Sales!D:D,Sales!C:C,A294)</f>
        <v>109</v>
      </c>
      <c r="E294" s="3" t="n">
        <f aca="false">_xlfn.XLOOKUP(A294,Item_Master!A:A,Item_Master!G:G)</f>
        <v>450</v>
      </c>
      <c r="F294" s="3" t="n">
        <f aca="false">D294*E294</f>
        <v>49050</v>
      </c>
    </row>
    <row r="295" customFormat="false" ht="15" hidden="false" customHeight="false" outlineLevel="0" collapsed="false">
      <c r="A295" s="0" t="s">
        <v>604</v>
      </c>
      <c r="B295" s="0" t="str">
        <f aca="false">_xlfn.XLOOKUP(A295,Item_Master!A:A,Item_Master!B:B)</f>
        <v>Godrej Door Eye Standard</v>
      </c>
      <c r="C295" s="0" t="str">
        <f aca="false">_xlfn.XLOOKUP(A295,Item_Master!A:A,Item_Master!C:C)</f>
        <v>Hardware</v>
      </c>
      <c r="D295" s="0" t="n">
        <f aca="false">SUMIFS(Sales!D:D,Sales!C:C,A295)</f>
        <v>88</v>
      </c>
      <c r="E295" s="3" t="n">
        <f aca="false">_xlfn.XLOOKUP(A295,Item_Master!A:A,Item_Master!G:G)</f>
        <v>1500</v>
      </c>
      <c r="F295" s="3" t="n">
        <f aca="false">D295*E295</f>
        <v>132000</v>
      </c>
    </row>
    <row r="296" customFormat="false" ht="15" hidden="false" customHeight="false" outlineLevel="0" collapsed="false">
      <c r="A296" s="0" t="s">
        <v>606</v>
      </c>
      <c r="B296" s="0" t="str">
        <f aca="false">_xlfn.XLOOKUP(A296,Item_Master!A:A,Item_Master!B:B)</f>
        <v>Ashirvad Teflon Tape 19mm</v>
      </c>
      <c r="C296" s="0" t="str">
        <f aca="false">_xlfn.XLOOKUP(A296,Item_Master!A:A,Item_Master!C:C)</f>
        <v>Plumbing</v>
      </c>
      <c r="D296" s="0" t="n">
        <f aca="false">SUMIFS(Sales!D:D,Sales!C:C,A296)</f>
        <v>91</v>
      </c>
      <c r="E296" s="3" t="n">
        <f aca="false">_xlfn.XLOOKUP(A296,Item_Master!A:A,Item_Master!G:G)</f>
        <v>1820</v>
      </c>
      <c r="F296" s="3" t="n">
        <f aca="false">D296*E296</f>
        <v>165620</v>
      </c>
    </row>
    <row r="297" customFormat="false" ht="15" hidden="false" customHeight="false" outlineLevel="0" collapsed="false">
      <c r="A297" s="0" t="s">
        <v>608</v>
      </c>
      <c r="B297" s="0" t="str">
        <f aca="false">_xlfn.XLOOKUP(A297,Item_Master!A:A,Item_Master!B:B)</f>
        <v>3M Duct Tape 48mm x 25m</v>
      </c>
      <c r="C297" s="0" t="str">
        <f aca="false">_xlfn.XLOOKUP(A297,Item_Master!A:A,Item_Master!C:C)</f>
        <v>Adhesives &amp; Sealants</v>
      </c>
      <c r="D297" s="0" t="n">
        <f aca="false">SUMIFS(Sales!D:D,Sales!C:C,A297)</f>
        <v>81</v>
      </c>
      <c r="E297" s="3" t="n">
        <f aca="false">_xlfn.XLOOKUP(A297,Item_Master!A:A,Item_Master!G:G)</f>
        <v>1590</v>
      </c>
      <c r="F297" s="3" t="n">
        <f aca="false">D297*E297</f>
        <v>128790</v>
      </c>
    </row>
    <row r="298" customFormat="false" ht="15" hidden="false" customHeight="false" outlineLevel="0" collapsed="false">
      <c r="A298" s="0" t="s">
        <v>610</v>
      </c>
      <c r="B298" s="0" t="str">
        <f aca="false">_xlfn.XLOOKUP(A298,Item_Master!A:A,Item_Master!B:B)</f>
        <v>Stanley Tape Measure 8m</v>
      </c>
      <c r="C298" s="0" t="str">
        <f aca="false">_xlfn.XLOOKUP(A298,Item_Master!A:A,Item_Master!C:C)</f>
        <v>Hand Tools</v>
      </c>
      <c r="D298" s="0" t="n">
        <f aca="false">SUMIFS(Sales!D:D,Sales!C:C,A298)</f>
        <v>112</v>
      </c>
      <c r="E298" s="3" t="n">
        <f aca="false">_xlfn.XLOOKUP(A298,Item_Master!A:A,Item_Master!G:G)</f>
        <v>2280</v>
      </c>
      <c r="F298" s="3" t="n">
        <f aca="false">D298*E298</f>
        <v>255360</v>
      </c>
    </row>
    <row r="299" customFormat="false" ht="15" hidden="false" customHeight="false" outlineLevel="0" collapsed="false">
      <c r="A299" s="0" t="s">
        <v>612</v>
      </c>
      <c r="B299" s="0" t="str">
        <f aca="false">_xlfn.XLOOKUP(A299,Item_Master!A:A,Item_Master!B:B)</f>
        <v>Mallcom First Aid Kit Small</v>
      </c>
      <c r="C299" s="0" t="str">
        <f aca="false">_xlfn.XLOOKUP(A299,Item_Master!A:A,Item_Master!C:C)</f>
        <v>Safety Gear</v>
      </c>
      <c r="D299" s="0" t="n">
        <f aca="false">SUMIFS(Sales!D:D,Sales!C:C,A299)</f>
        <v>122</v>
      </c>
      <c r="E299" s="3" t="n">
        <f aca="false">_xlfn.XLOOKUP(A299,Item_Master!A:A,Item_Master!G:G)</f>
        <v>2590</v>
      </c>
      <c r="F299" s="3" t="n">
        <f aca="false">D299*E299</f>
        <v>315980</v>
      </c>
    </row>
    <row r="300" customFormat="false" ht="15" hidden="false" customHeight="false" outlineLevel="0" collapsed="false">
      <c r="A300" s="0" t="s">
        <v>614</v>
      </c>
      <c r="B300" s="0" t="str">
        <f aca="false">_xlfn.XLOOKUP(A300,Item_Master!A:A,Item_Master!B:B)</f>
        <v>Bosi Ball Peen Hammer 8oz</v>
      </c>
      <c r="C300" s="0" t="str">
        <f aca="false">_xlfn.XLOOKUP(A300,Item_Master!A:A,Item_Master!C:C)</f>
        <v>Hand Tools</v>
      </c>
      <c r="D300" s="0" t="n">
        <f aca="false">SUMIFS(Sales!D:D,Sales!C:C,A300)</f>
        <v>76</v>
      </c>
      <c r="E300" s="3" t="n">
        <f aca="false">_xlfn.XLOOKUP(A300,Item_Master!A:A,Item_Master!G:G)</f>
        <v>1980</v>
      </c>
      <c r="F300" s="3" t="n">
        <f aca="false">D300*E300</f>
        <v>150480</v>
      </c>
    </row>
    <row r="301" customFormat="false" ht="15" hidden="false" customHeight="false" outlineLevel="0" collapsed="false">
      <c r="A301" s="0" t="s">
        <v>616</v>
      </c>
      <c r="B301" s="0" t="str">
        <f aca="false">_xlfn.XLOOKUP(A301,Item_Master!A:A,Item_Master!B:B)</f>
        <v>Wolf-Garten Garden Hose 20m</v>
      </c>
      <c r="C301" s="0" t="str">
        <f aca="false">_xlfn.XLOOKUP(A301,Item_Master!A:A,Item_Master!C:C)</f>
        <v>Garden Tools</v>
      </c>
      <c r="D301" s="0" t="n">
        <f aca="false">SUMIFS(Sales!D:D,Sales!C:C,A301)</f>
        <v>109</v>
      </c>
      <c r="E301" s="3" t="n">
        <f aca="false">_xlfn.XLOOKUP(A301,Item_Master!A:A,Item_Master!G:G)</f>
        <v>3760</v>
      </c>
      <c r="F301" s="3" t="n">
        <f aca="false">D301*E301</f>
        <v>409840</v>
      </c>
    </row>
    <row r="302" customFormat="false" ht="15" hidden="false" customHeight="false" outlineLevel="0" collapsed="false">
      <c r="A302" s="0" t="s">
        <v>618</v>
      </c>
      <c r="B302" s="0" t="str">
        <f aca="false">_xlfn.XLOOKUP(A302,Item_Master!A:A,Item_Master!B:B)</f>
        <v>Europa Door Handle Stainless</v>
      </c>
      <c r="C302" s="0" t="str">
        <f aca="false">_xlfn.XLOOKUP(A302,Item_Master!A:A,Item_Master!C:C)</f>
        <v>Hardware</v>
      </c>
      <c r="D302" s="0" t="n">
        <f aca="false">SUMIFS(Sales!D:D,Sales!C:C,A302)</f>
        <v>35</v>
      </c>
      <c r="E302" s="3" t="n">
        <f aca="false">_xlfn.XLOOKUP(A302,Item_Master!A:A,Item_Master!G:G)</f>
        <v>890</v>
      </c>
      <c r="F302" s="3" t="n">
        <f aca="false">D302*E302</f>
        <v>31150</v>
      </c>
    </row>
    <row r="303" customFormat="false" ht="15" hidden="false" customHeight="false" outlineLevel="0" collapsed="false">
      <c r="A303" s="0" t="s">
        <v>620</v>
      </c>
      <c r="B303" s="0" t="str">
        <f aca="false">_xlfn.XLOOKUP(A303,Item_Master!A:A,Item_Master!B:B)</f>
        <v>Hettich Door Eye Standard</v>
      </c>
      <c r="C303" s="0" t="str">
        <f aca="false">_xlfn.XLOOKUP(A303,Item_Master!A:A,Item_Master!C:C)</f>
        <v>Hardware</v>
      </c>
      <c r="D303" s="0" t="n">
        <f aca="false">SUMIFS(Sales!D:D,Sales!C:C,A303)</f>
        <v>77</v>
      </c>
      <c r="E303" s="3" t="n">
        <f aca="false">_xlfn.XLOOKUP(A303,Item_Master!A:A,Item_Master!G:G)</f>
        <v>1230</v>
      </c>
      <c r="F303" s="3" t="n">
        <f aca="false">D303*E303</f>
        <v>94710</v>
      </c>
    </row>
    <row r="304" customFormat="false" ht="15" hidden="false" customHeight="false" outlineLevel="0" collapsed="false">
      <c r="A304" s="0" t="s">
        <v>622</v>
      </c>
      <c r="B304" s="0" t="str">
        <f aca="false">_xlfn.XLOOKUP(A304,Item_Master!A:A,Item_Master!B:B)</f>
        <v>Nerolac Exterior Emulsion 4L</v>
      </c>
      <c r="C304" s="0" t="str">
        <f aca="false">_xlfn.XLOOKUP(A304,Item_Master!A:A,Item_Master!C:C)</f>
        <v>Paints &amp; Coatings</v>
      </c>
      <c r="D304" s="0" t="n">
        <f aca="false">SUMIFS(Sales!D:D,Sales!C:C,A304)</f>
        <v>101</v>
      </c>
      <c r="E304" s="3" t="n">
        <f aca="false">_xlfn.XLOOKUP(A304,Item_Master!A:A,Item_Master!G:G)</f>
        <v>1110</v>
      </c>
      <c r="F304" s="3" t="n">
        <f aca="false">D304*E304</f>
        <v>112110</v>
      </c>
    </row>
    <row r="305" customFormat="false" ht="15" hidden="false" customHeight="false" outlineLevel="0" collapsed="false">
      <c r="A305" s="0" t="s">
        <v>624</v>
      </c>
      <c r="B305" s="0" t="str">
        <f aca="false">_xlfn.XLOOKUP(A305,Item_Master!A:A,Item_Master!B:B)</f>
        <v>M-Seal Double-sided Tape 24mm</v>
      </c>
      <c r="C305" s="0" t="str">
        <f aca="false">_xlfn.XLOOKUP(A305,Item_Master!A:A,Item_Master!C:C)</f>
        <v>Adhesives &amp; Sealants</v>
      </c>
      <c r="D305" s="0" t="n">
        <f aca="false">SUMIFS(Sales!D:D,Sales!C:C,A305)</f>
        <v>87</v>
      </c>
      <c r="E305" s="3" t="n">
        <f aca="false">_xlfn.XLOOKUP(A305,Item_Master!A:A,Item_Master!G:G)</f>
        <v>620</v>
      </c>
      <c r="F305" s="3" t="n">
        <f aca="false">D305*E305</f>
        <v>53940</v>
      </c>
    </row>
    <row r="306" customFormat="false" ht="15" hidden="false" customHeight="false" outlineLevel="0" collapsed="false">
      <c r="A306" s="0" t="s">
        <v>626</v>
      </c>
      <c r="B306" s="0" t="str">
        <f aca="false">_xlfn.XLOOKUP(A306,Item_Master!A:A,Item_Master!B:B)</f>
        <v>GKW Anchor Bolts M8</v>
      </c>
      <c r="C306" s="0" t="str">
        <f aca="false">_xlfn.XLOOKUP(A306,Item_Master!A:A,Item_Master!C:C)</f>
        <v>Fasteners</v>
      </c>
      <c r="D306" s="0" t="n">
        <f aca="false">SUMIFS(Sales!D:D,Sales!C:C,A306)</f>
        <v>168</v>
      </c>
      <c r="E306" s="3" t="n">
        <f aca="false">_xlfn.XLOOKUP(A306,Item_Master!A:A,Item_Master!G:G)</f>
        <v>330</v>
      </c>
      <c r="F306" s="3" t="n">
        <f aca="false">D306*E306</f>
        <v>55440</v>
      </c>
    </row>
    <row r="307" customFormat="false" ht="15" hidden="false" customHeight="false" outlineLevel="0" collapsed="false">
      <c r="A307" s="0" t="s">
        <v>627</v>
      </c>
      <c r="B307" s="0" t="str">
        <f aca="false">_xlfn.XLOOKUP(A307,Item_Master!A:A,Item_Master!B:B)</f>
        <v>Bosch Cordless Drill 20V Pro</v>
      </c>
      <c r="C307" s="0" t="str">
        <f aca="false">_xlfn.XLOOKUP(A307,Item_Master!A:A,Item_Master!C:C)</f>
        <v>Power Tools</v>
      </c>
      <c r="D307" s="0" t="n">
        <f aca="false">SUMIFS(Sales!D:D,Sales!C:C,A307)</f>
        <v>155</v>
      </c>
      <c r="E307" s="3" t="n">
        <f aca="false">_xlfn.XLOOKUP(A307,Item_Master!A:A,Item_Master!G:G)</f>
        <v>7150</v>
      </c>
      <c r="F307" s="3" t="n">
        <f aca="false">D307*E307</f>
        <v>1108250</v>
      </c>
    </row>
    <row r="308" customFormat="false" ht="15" hidden="false" customHeight="false" outlineLevel="0" collapsed="false">
      <c r="A308" s="0" t="s">
        <v>629</v>
      </c>
      <c r="B308" s="0" t="str">
        <f aca="false">_xlfn.XLOOKUP(A308,Item_Master!A:A,Item_Master!B:B)</f>
        <v>Crompton Jig Saw Standard</v>
      </c>
      <c r="C308" s="0" t="str">
        <f aca="false">_xlfn.XLOOKUP(A308,Item_Master!A:A,Item_Master!C:C)</f>
        <v>Power Tools</v>
      </c>
      <c r="D308" s="0" t="n">
        <f aca="false">SUMIFS(Sales!D:D,Sales!C:C,A308)</f>
        <v>46</v>
      </c>
      <c r="E308" s="3" t="n">
        <f aca="false">_xlfn.XLOOKUP(A308,Item_Master!A:A,Item_Master!G:G)</f>
        <v>12060</v>
      </c>
      <c r="F308" s="3" t="n">
        <f aca="false">D308*E308</f>
        <v>554760</v>
      </c>
    </row>
    <row r="309" customFormat="false" ht="15" hidden="false" customHeight="false" outlineLevel="0" collapsed="false">
      <c r="A309" s="0" t="s">
        <v>631</v>
      </c>
      <c r="B309" s="0" t="str">
        <f aca="false">_xlfn.XLOOKUP(A309,Item_Master!A:A,Item_Master!B:B)</f>
        <v>Araldite Duct Tape 48mm x 25m</v>
      </c>
      <c r="C309" s="0" t="str">
        <f aca="false">_xlfn.XLOOKUP(A309,Item_Master!A:A,Item_Master!C:C)</f>
        <v>Adhesives &amp; Sealants</v>
      </c>
      <c r="D309" s="0" t="n">
        <f aca="false">SUMIFS(Sales!D:D,Sales!C:C,A309)</f>
        <v>89</v>
      </c>
      <c r="E309" s="3" t="n">
        <f aca="false">_xlfn.XLOOKUP(A309,Item_Master!A:A,Item_Master!G:G)</f>
        <v>810</v>
      </c>
      <c r="F309" s="3" t="n">
        <f aca="false">D309*E309</f>
        <v>72090</v>
      </c>
    </row>
    <row r="310" customFormat="false" ht="15" hidden="false" customHeight="false" outlineLevel="0" collapsed="false">
      <c r="A310" s="0" t="s">
        <v>632</v>
      </c>
      <c r="B310" s="0" t="str">
        <f aca="false">_xlfn.XLOOKUP(A310,Item_Master!A:A,Item_Master!B:B)</f>
        <v>Black &amp; Decker Rotary Hammer SDS Max</v>
      </c>
      <c r="C310" s="0" t="str">
        <f aca="false">_xlfn.XLOOKUP(A310,Item_Master!A:A,Item_Master!C:C)</f>
        <v>Power Tools</v>
      </c>
      <c r="D310" s="0" t="n">
        <f aca="false">SUMIFS(Sales!D:D,Sales!C:C,A310)</f>
        <v>111</v>
      </c>
      <c r="E310" s="3" t="n">
        <f aca="false">_xlfn.XLOOKUP(A310,Item_Master!A:A,Item_Master!G:G)</f>
        <v>6450</v>
      </c>
      <c r="F310" s="3" t="n">
        <f aca="false">D310*E310</f>
        <v>715950</v>
      </c>
    </row>
    <row r="311" customFormat="false" ht="15" hidden="false" customHeight="false" outlineLevel="0" collapsed="false">
      <c r="A311" s="0" t="s">
        <v>634</v>
      </c>
      <c r="B311" s="0" t="str">
        <f aca="false">_xlfn.XLOOKUP(A311,Item_Master!A:A,Item_Master!B:B)</f>
        <v>Stanley Hammer Drill Standard</v>
      </c>
      <c r="C311" s="0" t="str">
        <f aca="false">_xlfn.XLOOKUP(A311,Item_Master!A:A,Item_Master!C:C)</f>
        <v>Power Tools</v>
      </c>
      <c r="D311" s="0" t="n">
        <f aca="false">SUMIFS(Sales!D:D,Sales!C:C,A311)</f>
        <v>136</v>
      </c>
      <c r="E311" s="3" t="n">
        <f aca="false">_xlfn.XLOOKUP(A311,Item_Master!A:A,Item_Master!G:G)</f>
        <v>15910</v>
      </c>
      <c r="F311" s="3" t="n">
        <f aca="false">D311*E311</f>
        <v>2163760</v>
      </c>
    </row>
    <row r="312" customFormat="false" ht="15" hidden="false" customHeight="false" outlineLevel="0" collapsed="false">
      <c r="A312" s="0" t="s">
        <v>635</v>
      </c>
      <c r="B312" s="0" t="str">
        <f aca="false">_xlfn.XLOOKUP(A312,Item_Master!A:A,Item_Master!B:B)</f>
        <v>Black &amp; Decker Reciprocating Saw Pro</v>
      </c>
      <c r="C312" s="0" t="str">
        <f aca="false">_xlfn.XLOOKUP(A312,Item_Master!A:A,Item_Master!C:C)</f>
        <v>Power Tools</v>
      </c>
      <c r="D312" s="0" t="n">
        <f aca="false">SUMIFS(Sales!D:D,Sales!C:C,A312)</f>
        <v>166</v>
      </c>
      <c r="E312" s="3" t="n">
        <f aca="false">_xlfn.XLOOKUP(A312,Item_Master!A:A,Item_Master!G:G)</f>
        <v>21210</v>
      </c>
      <c r="F312" s="3" t="n">
        <f aca="false">D312*E312</f>
        <v>3520860</v>
      </c>
    </row>
    <row r="313" customFormat="false" ht="15" hidden="false" customHeight="false" outlineLevel="0" collapsed="false">
      <c r="A313" s="0" t="s">
        <v>636</v>
      </c>
      <c r="B313" s="0" t="str">
        <f aca="false">_xlfn.XLOOKUP(A313,Item_Master!A:A,Item_Master!B:B)</f>
        <v>Yale Cabinet Knob Steel</v>
      </c>
      <c r="C313" s="0" t="str">
        <f aca="false">_xlfn.XLOOKUP(A313,Item_Master!A:A,Item_Master!C:C)</f>
        <v>Hardware</v>
      </c>
      <c r="D313" s="0" t="n">
        <f aca="false">SUMIFS(Sales!D:D,Sales!C:C,A313)</f>
        <v>95</v>
      </c>
      <c r="E313" s="3" t="n">
        <f aca="false">_xlfn.XLOOKUP(A313,Item_Master!A:A,Item_Master!G:G)</f>
        <v>1300</v>
      </c>
      <c r="F313" s="3" t="n">
        <f aca="false">D313*E313</f>
        <v>123500</v>
      </c>
    </row>
    <row r="314" customFormat="false" ht="15" hidden="false" customHeight="false" outlineLevel="0" collapsed="false">
      <c r="A314" s="0" t="s">
        <v>637</v>
      </c>
      <c r="B314" s="0" t="str">
        <f aca="false">_xlfn.XLOOKUP(A314,Item_Master!A:A,Item_Master!B:B)</f>
        <v>Pidilite Insulation Tape 18mm</v>
      </c>
      <c r="C314" s="0" t="str">
        <f aca="false">_xlfn.XLOOKUP(A314,Item_Master!A:A,Item_Master!C:C)</f>
        <v>Adhesives &amp; Sealants</v>
      </c>
      <c r="D314" s="0" t="n">
        <f aca="false">SUMIFS(Sales!D:D,Sales!C:C,A314)</f>
        <v>105</v>
      </c>
      <c r="E314" s="3" t="n">
        <f aca="false">_xlfn.XLOOKUP(A314,Item_Master!A:A,Item_Master!G:G)</f>
        <v>510</v>
      </c>
      <c r="F314" s="3" t="n">
        <f aca="false">D314*E314</f>
        <v>53550</v>
      </c>
    </row>
    <row r="315" customFormat="false" ht="15" hidden="false" customHeight="false" outlineLevel="0" collapsed="false">
      <c r="A315" s="0" t="s">
        <v>639</v>
      </c>
      <c r="B315" s="0" t="str">
        <f aca="false">_xlfn.XLOOKUP(A315,Item_Master!A:A,Item_Master!B:B)</f>
        <v>Hettich Lock Cylinder</v>
      </c>
      <c r="C315" s="0" t="str">
        <f aca="false">_xlfn.XLOOKUP(A315,Item_Master!A:A,Item_Master!C:C)</f>
        <v>Hardware</v>
      </c>
      <c r="D315" s="0" t="n">
        <f aca="false">SUMIFS(Sales!D:D,Sales!C:C,A315)</f>
        <v>114</v>
      </c>
      <c r="E315" s="3" t="n">
        <f aca="false">_xlfn.XLOOKUP(A315,Item_Master!A:A,Item_Master!G:G)</f>
        <v>590</v>
      </c>
      <c r="F315" s="3" t="n">
        <f aca="false">D315*E315</f>
        <v>67260</v>
      </c>
    </row>
    <row r="316" customFormat="false" ht="15" hidden="false" customHeight="false" outlineLevel="0" collapsed="false">
      <c r="A316" s="0" t="s">
        <v>641</v>
      </c>
      <c r="B316" s="0" t="str">
        <f aca="false">_xlfn.XLOOKUP(A316,Item_Master!A:A,Item_Master!B:B)</f>
        <v>Birla Distemper 10kg</v>
      </c>
      <c r="C316" s="0" t="str">
        <f aca="false">_xlfn.XLOOKUP(A316,Item_Master!A:A,Item_Master!C:C)</f>
        <v>Paints &amp; Coatings</v>
      </c>
      <c r="D316" s="0" t="n">
        <f aca="false">SUMIFS(Sales!D:D,Sales!C:C,A316)</f>
        <v>264</v>
      </c>
      <c r="E316" s="3" t="n">
        <f aca="false">_xlfn.XLOOKUP(A316,Item_Master!A:A,Item_Master!G:G)</f>
        <v>2120</v>
      </c>
      <c r="F316" s="3" t="n">
        <f aca="false">D316*E316</f>
        <v>559680</v>
      </c>
    </row>
    <row r="317" customFormat="false" ht="15" hidden="false" customHeight="false" outlineLevel="0" collapsed="false">
      <c r="A317" s="0" t="s">
        <v>643</v>
      </c>
      <c r="B317" s="0" t="str">
        <f aca="false">_xlfn.XLOOKUP(A317,Item_Master!A:A,Item_Master!B:B)</f>
        <v>Fevicol Epoxy Resin 100g</v>
      </c>
      <c r="C317" s="0" t="str">
        <f aca="false">_xlfn.XLOOKUP(A317,Item_Master!A:A,Item_Master!C:C)</f>
        <v>Adhesives &amp; Sealants</v>
      </c>
      <c r="D317" s="0" t="n">
        <f aca="false">SUMIFS(Sales!D:D,Sales!C:C,A317)</f>
        <v>131</v>
      </c>
      <c r="E317" s="3" t="n">
        <f aca="false">_xlfn.XLOOKUP(A317,Item_Master!A:A,Item_Master!G:G)</f>
        <v>1400</v>
      </c>
      <c r="F317" s="3" t="n">
        <f aca="false">D317*E317</f>
        <v>183400</v>
      </c>
    </row>
    <row r="318" customFormat="false" ht="15" hidden="false" customHeight="false" outlineLevel="0" collapsed="false">
      <c r="A318" s="0" t="s">
        <v>645</v>
      </c>
      <c r="B318" s="0" t="str">
        <f aca="false">_xlfn.XLOOKUP(A318,Item_Master!A:A,Item_Master!B:B)</f>
        <v>Makita Cordless Drill 20V Pro</v>
      </c>
      <c r="C318" s="0" t="str">
        <f aca="false">_xlfn.XLOOKUP(A318,Item_Master!A:A,Item_Master!C:C)</f>
        <v>Power Tools</v>
      </c>
      <c r="D318" s="0" t="n">
        <f aca="false">SUMIFS(Sales!D:D,Sales!C:C,A318)</f>
        <v>240</v>
      </c>
      <c r="E318" s="3" t="n">
        <f aca="false">_xlfn.XLOOKUP(A318,Item_Master!A:A,Item_Master!G:G)</f>
        <v>12110</v>
      </c>
      <c r="F318" s="3" t="n">
        <f aca="false">D318*E318</f>
        <v>2906400</v>
      </c>
    </row>
    <row r="319" customFormat="false" ht="15" hidden="false" customHeight="false" outlineLevel="0" collapsed="false">
      <c r="A319" s="0" t="s">
        <v>647</v>
      </c>
      <c r="B319" s="0" t="str">
        <f aca="false">_xlfn.XLOOKUP(A319,Item_Master!A:A,Item_Master!B:B)</f>
        <v>Apex Wall Plugs 6mm</v>
      </c>
      <c r="C319" s="0" t="str">
        <f aca="false">_xlfn.XLOOKUP(A319,Item_Master!A:A,Item_Master!C:C)</f>
        <v>Fasteners</v>
      </c>
      <c r="D319" s="0" t="n">
        <f aca="false">SUMIFS(Sales!D:D,Sales!C:C,A319)</f>
        <v>80</v>
      </c>
      <c r="E319" s="3" t="n">
        <f aca="false">_xlfn.XLOOKUP(A319,Item_Master!A:A,Item_Master!G:G)</f>
        <v>630</v>
      </c>
      <c r="F319" s="3" t="n">
        <f aca="false">D319*E319</f>
        <v>50400</v>
      </c>
    </row>
    <row r="320" customFormat="false" ht="15" hidden="false" customHeight="false" outlineLevel="0" collapsed="false">
      <c r="A320" s="0" t="s">
        <v>648</v>
      </c>
      <c r="B320" s="0" t="str">
        <f aca="false">_xlfn.XLOOKUP(A320,Item_Master!A:A,Item_Master!B:B)</f>
        <v>Black &amp; Decker Reciprocating Saw Pro</v>
      </c>
      <c r="C320" s="0" t="str">
        <f aca="false">_xlfn.XLOOKUP(A320,Item_Master!A:A,Item_Master!C:C)</f>
        <v>Power Tools</v>
      </c>
      <c r="D320" s="0" t="n">
        <f aca="false">SUMIFS(Sales!D:D,Sales!C:C,A320)</f>
        <v>129</v>
      </c>
      <c r="E320" s="3" t="n">
        <f aca="false">_xlfn.XLOOKUP(A320,Item_Master!A:A,Item_Master!G:G)</f>
        <v>23250</v>
      </c>
      <c r="F320" s="3" t="n">
        <f aca="false">D320*E320</f>
        <v>2999250</v>
      </c>
    </row>
    <row r="321" customFormat="false" ht="15" hidden="false" customHeight="false" outlineLevel="0" collapsed="false">
      <c r="A321" s="0" t="s">
        <v>649</v>
      </c>
      <c r="B321" s="0" t="str">
        <f aca="false">_xlfn.XLOOKUP(A321,Item_Master!A:A,Item_Master!B:B)</f>
        <v>Godrej Door Hinge 4 inch</v>
      </c>
      <c r="C321" s="0" t="str">
        <f aca="false">_xlfn.XLOOKUP(A321,Item_Master!A:A,Item_Master!C:C)</f>
        <v>Hardware</v>
      </c>
      <c r="D321" s="0" t="n">
        <f aca="false">SUMIFS(Sales!D:D,Sales!C:C,A321)</f>
        <v>64</v>
      </c>
      <c r="E321" s="3" t="n">
        <f aca="false">_xlfn.XLOOKUP(A321,Item_Master!A:A,Item_Master!G:G)</f>
        <v>1600</v>
      </c>
      <c r="F321" s="3" t="n">
        <f aca="false">D321*E321</f>
        <v>102400</v>
      </c>
    </row>
    <row r="322" customFormat="false" ht="15" hidden="false" customHeight="false" outlineLevel="0" collapsed="false">
      <c r="A322" s="0" t="s">
        <v>651</v>
      </c>
      <c r="B322" s="0" t="str">
        <f aca="false">_xlfn.XLOOKUP(A322,Item_Master!A:A,Item_Master!B:B)</f>
        <v>Hettich Cabinet Knob Chrome</v>
      </c>
      <c r="C322" s="0" t="str">
        <f aca="false">_xlfn.XLOOKUP(A322,Item_Master!A:A,Item_Master!C:C)</f>
        <v>Hardware</v>
      </c>
      <c r="D322" s="0" t="n">
        <f aca="false">SUMIFS(Sales!D:D,Sales!C:C,A322)</f>
        <v>38</v>
      </c>
      <c r="E322" s="3" t="n">
        <f aca="false">_xlfn.XLOOKUP(A322,Item_Master!A:A,Item_Master!G:G)</f>
        <v>920</v>
      </c>
      <c r="F322" s="3" t="n">
        <f aca="false">D322*E322</f>
        <v>34960</v>
      </c>
    </row>
    <row r="323" customFormat="false" ht="15" hidden="false" customHeight="false" outlineLevel="0" collapsed="false">
      <c r="A323" s="0" t="s">
        <v>653</v>
      </c>
      <c r="B323" s="0" t="str">
        <f aca="false">_xlfn.XLOOKUP(A323,Item_Master!A:A,Item_Master!B:B)</f>
        <v>Stanley Ball Peen Hammer 8oz</v>
      </c>
      <c r="C323" s="0" t="str">
        <f aca="false">_xlfn.XLOOKUP(A323,Item_Master!A:A,Item_Master!C:C)</f>
        <v>Hand Tools</v>
      </c>
      <c r="D323" s="0" t="n">
        <f aca="false">SUMIFS(Sales!D:D,Sales!C:C,A323)</f>
        <v>88</v>
      </c>
      <c r="E323" s="3" t="n">
        <f aca="false">_xlfn.XLOOKUP(A323,Item_Master!A:A,Item_Master!G:G)</f>
        <v>1740</v>
      </c>
      <c r="F323" s="3" t="n">
        <f aca="false">D323*E323</f>
        <v>153120</v>
      </c>
    </row>
    <row r="324" customFormat="false" ht="15" hidden="false" customHeight="false" outlineLevel="0" collapsed="false">
      <c r="A324" s="0" t="s">
        <v>654</v>
      </c>
      <c r="B324" s="0" t="str">
        <f aca="false">_xlfn.XLOOKUP(A324,Item_Master!A:A,Item_Master!B:B)</f>
        <v>Prince Shower Head Rainfall</v>
      </c>
      <c r="C324" s="0" t="str">
        <f aca="false">_xlfn.XLOOKUP(A324,Item_Master!A:A,Item_Master!C:C)</f>
        <v>Plumbing</v>
      </c>
      <c r="D324" s="0" t="n">
        <f aca="false">SUMIFS(Sales!D:D,Sales!C:C,A324)</f>
        <v>162</v>
      </c>
      <c r="E324" s="3" t="n">
        <f aca="false">_xlfn.XLOOKUP(A324,Item_Master!A:A,Item_Master!G:G)</f>
        <v>1800</v>
      </c>
      <c r="F324" s="3" t="n">
        <f aca="false">D324*E324</f>
        <v>291600</v>
      </c>
    </row>
    <row r="325" customFormat="false" ht="15" hidden="false" customHeight="false" outlineLevel="0" collapsed="false">
      <c r="A325" s="0" t="s">
        <v>656</v>
      </c>
      <c r="B325" s="0" t="str">
        <f aca="false">_xlfn.XLOOKUP(A325,Item_Master!A:A,Item_Master!B:B)</f>
        <v>Asian Paints Distemper 10kg</v>
      </c>
      <c r="C325" s="0" t="str">
        <f aca="false">_xlfn.XLOOKUP(A325,Item_Master!A:A,Item_Master!C:C)</f>
        <v>Paints &amp; Coatings</v>
      </c>
      <c r="D325" s="0" t="n">
        <f aca="false">SUMIFS(Sales!D:D,Sales!C:C,A325)</f>
        <v>28</v>
      </c>
      <c r="E325" s="3" t="n">
        <f aca="false">_xlfn.XLOOKUP(A325,Item_Master!A:A,Item_Master!G:G)</f>
        <v>1370</v>
      </c>
      <c r="F325" s="3" t="n">
        <f aca="false">D325*E325</f>
        <v>38360</v>
      </c>
    </row>
    <row r="326" customFormat="false" ht="15" hidden="false" customHeight="false" outlineLevel="0" collapsed="false">
      <c r="A326" s="0" t="s">
        <v>658</v>
      </c>
      <c r="B326" s="0" t="str">
        <f aca="false">_xlfn.XLOOKUP(A326,Item_Master!A:A,Item_Master!B:B)</f>
        <v>Legrand Switch 1-way</v>
      </c>
      <c r="C326" s="0" t="str">
        <f aca="false">_xlfn.XLOOKUP(A326,Item_Master!A:A,Item_Master!C:C)</f>
        <v>Electrical</v>
      </c>
      <c r="D326" s="0" t="n">
        <f aca="false">SUMIFS(Sales!D:D,Sales!C:C,A326)</f>
        <v>38</v>
      </c>
      <c r="E326" s="3" t="n">
        <f aca="false">_xlfn.XLOOKUP(A326,Item_Master!A:A,Item_Master!G:G)</f>
        <v>610</v>
      </c>
      <c r="F326" s="3" t="n">
        <f aca="false">D326*E326</f>
        <v>23180</v>
      </c>
    </row>
    <row r="327" customFormat="false" ht="15" hidden="false" customHeight="false" outlineLevel="0" collapsed="false">
      <c r="A327" s="0" t="s">
        <v>659</v>
      </c>
      <c r="B327" s="0" t="str">
        <f aca="false">_xlfn.XLOOKUP(A327,Item_Master!A:A,Item_Master!B:B)</f>
        <v>Anchor PVC Wire 1.5 sqmm</v>
      </c>
      <c r="C327" s="0" t="str">
        <f aca="false">_xlfn.XLOOKUP(A327,Item_Master!A:A,Item_Master!C:C)</f>
        <v>Electrical</v>
      </c>
      <c r="D327" s="0" t="n">
        <f aca="false">SUMIFS(Sales!D:D,Sales!C:C,A327)</f>
        <v>75</v>
      </c>
      <c r="E327" s="3" t="n">
        <f aca="false">_xlfn.XLOOKUP(A327,Item_Master!A:A,Item_Master!G:G)</f>
        <v>3470</v>
      </c>
      <c r="F327" s="3" t="n">
        <f aca="false">D327*E327</f>
        <v>260250</v>
      </c>
    </row>
    <row r="328" customFormat="false" ht="15" hidden="false" customHeight="false" outlineLevel="0" collapsed="false">
      <c r="A328" s="0" t="s">
        <v>661</v>
      </c>
      <c r="B328" s="0" t="str">
        <f aca="false">_xlfn.XLOOKUP(A328,Item_Master!A:A,Item_Master!B:B)</f>
        <v>Polycab PVC Conduit 25mm</v>
      </c>
      <c r="C328" s="0" t="str">
        <f aca="false">_xlfn.XLOOKUP(A328,Item_Master!A:A,Item_Master!C:C)</f>
        <v>Electrical</v>
      </c>
      <c r="D328" s="0" t="n">
        <f aca="false">SUMIFS(Sales!D:D,Sales!C:C,A328)</f>
        <v>38</v>
      </c>
      <c r="E328" s="3" t="n">
        <f aca="false">_xlfn.XLOOKUP(A328,Item_Master!A:A,Item_Master!G:G)</f>
        <v>3450</v>
      </c>
      <c r="F328" s="3" t="n">
        <f aca="false">D328*E328</f>
        <v>131100</v>
      </c>
    </row>
    <row r="329" customFormat="false" ht="15" hidden="false" customHeight="false" outlineLevel="0" collapsed="false">
      <c r="A329" s="0" t="s">
        <v>663</v>
      </c>
      <c r="B329" s="0" t="str">
        <f aca="false">_xlfn.XLOOKUP(A329,Item_Master!A:A,Item_Master!B:B)</f>
        <v>GKW Machine Screws M3</v>
      </c>
      <c r="C329" s="0" t="str">
        <f aca="false">_xlfn.XLOOKUP(A329,Item_Master!A:A,Item_Master!C:C)</f>
        <v>Fasteners</v>
      </c>
      <c r="D329" s="0" t="n">
        <f aca="false">SUMIFS(Sales!D:D,Sales!C:C,A329)</f>
        <v>349</v>
      </c>
      <c r="E329" s="3" t="n">
        <f aca="false">_xlfn.XLOOKUP(A329,Item_Master!A:A,Item_Master!G:G)</f>
        <v>580</v>
      </c>
      <c r="F329" s="3" t="n">
        <f aca="false">D329*E329</f>
        <v>202420</v>
      </c>
    </row>
    <row r="330" customFormat="false" ht="15" hidden="false" customHeight="false" outlineLevel="0" collapsed="false">
      <c r="A330" s="0" t="s">
        <v>665</v>
      </c>
      <c r="B330" s="0" t="str">
        <f aca="false">_xlfn.XLOOKUP(A330,Item_Master!A:A,Item_Master!B:B)</f>
        <v>Taparia Spanner Set 8 pc</v>
      </c>
      <c r="C330" s="0" t="str">
        <f aca="false">_xlfn.XLOOKUP(A330,Item_Master!A:A,Item_Master!C:C)</f>
        <v>Hand Tools</v>
      </c>
      <c r="D330" s="0" t="n">
        <f aca="false">SUMIFS(Sales!D:D,Sales!C:C,A330)</f>
        <v>38</v>
      </c>
      <c r="E330" s="3" t="n">
        <f aca="false">_xlfn.XLOOKUP(A330,Item_Master!A:A,Item_Master!G:G)</f>
        <v>1140</v>
      </c>
      <c r="F330" s="3" t="n">
        <f aca="false">D330*E330</f>
        <v>43320</v>
      </c>
    </row>
    <row r="331" customFormat="false" ht="15" hidden="false" customHeight="false" outlineLevel="0" collapsed="false">
      <c r="A331" s="0" t="s">
        <v>667</v>
      </c>
      <c r="B331" s="0" t="str">
        <f aca="false">_xlfn.XLOOKUP(A331,Item_Master!A:A,Item_Master!B:B)</f>
        <v>Dulux Metal Primer 1L</v>
      </c>
      <c r="C331" s="0" t="str">
        <f aca="false">_xlfn.XLOOKUP(A331,Item_Master!A:A,Item_Master!C:C)</f>
        <v>Paints &amp; Coatings</v>
      </c>
      <c r="D331" s="0" t="n">
        <f aca="false">SUMIFS(Sales!D:D,Sales!C:C,A331)</f>
        <v>303</v>
      </c>
      <c r="E331" s="3" t="n">
        <f aca="false">_xlfn.XLOOKUP(A331,Item_Master!A:A,Item_Master!G:G)</f>
        <v>2050</v>
      </c>
      <c r="F331" s="3" t="n">
        <f aca="false">D331*E331</f>
        <v>621150</v>
      </c>
    </row>
    <row r="332" customFormat="false" ht="15" hidden="false" customHeight="false" outlineLevel="0" collapsed="false">
      <c r="A332" s="0" t="s">
        <v>669</v>
      </c>
      <c r="B332" s="0" t="str">
        <f aca="false">_xlfn.XLOOKUP(A332,Item_Master!A:A,Item_Master!B:B)</f>
        <v>TVS Spirit Level 12 inch</v>
      </c>
      <c r="C332" s="0" t="str">
        <f aca="false">_xlfn.XLOOKUP(A332,Item_Master!A:A,Item_Master!C:C)</f>
        <v>Hand Tools</v>
      </c>
      <c r="D332" s="0" t="n">
        <f aca="false">SUMIFS(Sales!D:D,Sales!C:C,A332)</f>
        <v>172</v>
      </c>
      <c r="E332" s="3" t="n">
        <f aca="false">_xlfn.XLOOKUP(A332,Item_Master!A:A,Item_Master!G:G)</f>
        <v>2370</v>
      </c>
      <c r="F332" s="3" t="n">
        <f aca="false">D332*E332</f>
        <v>407640</v>
      </c>
    </row>
    <row r="333" customFormat="false" ht="15" hidden="false" customHeight="false" outlineLevel="0" collapsed="false">
      <c r="A333" s="0" t="s">
        <v>671</v>
      </c>
      <c r="B333" s="0" t="str">
        <f aca="false">_xlfn.XLOOKUP(A333,Item_Master!A:A,Item_Master!B:B)</f>
        <v>Legrand PVC Conduit 20mm</v>
      </c>
      <c r="C333" s="0" t="str">
        <f aca="false">_xlfn.XLOOKUP(A333,Item_Master!A:A,Item_Master!C:C)</f>
        <v>Electrical</v>
      </c>
      <c r="D333" s="0" t="n">
        <f aca="false">SUMIFS(Sales!D:D,Sales!C:C,A333)</f>
        <v>104</v>
      </c>
      <c r="E333" s="3" t="n">
        <f aca="false">_xlfn.XLOOKUP(A333,Item_Master!A:A,Item_Master!G:G)</f>
        <v>2240</v>
      </c>
      <c r="F333" s="3" t="n">
        <f aca="false">D333*E333</f>
        <v>232960</v>
      </c>
    </row>
    <row r="334" customFormat="false" ht="15" hidden="false" customHeight="false" outlineLevel="0" collapsed="false">
      <c r="A334" s="0" t="s">
        <v>673</v>
      </c>
      <c r="B334" s="0" t="str">
        <f aca="false">_xlfn.XLOOKUP(A334,Item_Master!A:A,Item_Master!B:B)</f>
        <v>Pidilite Duct Tape 48mm x 25m</v>
      </c>
      <c r="C334" s="0" t="str">
        <f aca="false">_xlfn.XLOOKUP(A334,Item_Master!A:A,Item_Master!C:C)</f>
        <v>Adhesives &amp; Sealants</v>
      </c>
      <c r="D334" s="0" t="n">
        <f aca="false">SUMIFS(Sales!D:D,Sales!C:C,A334)</f>
        <v>207</v>
      </c>
      <c r="E334" s="3" t="n">
        <f aca="false">_xlfn.XLOOKUP(A334,Item_Master!A:A,Item_Master!G:G)</f>
        <v>840</v>
      </c>
      <c r="F334" s="3" t="n">
        <f aca="false">D334*E334</f>
        <v>173880</v>
      </c>
    </row>
    <row r="335" customFormat="false" ht="15" hidden="false" customHeight="false" outlineLevel="0" collapsed="false">
      <c r="A335" s="0" t="s">
        <v>674</v>
      </c>
      <c r="B335" s="0" t="str">
        <f aca="false">_xlfn.XLOOKUP(A335,Item_Master!A:A,Item_Master!B:B)</f>
        <v>Dulux Wall Putty 5kg</v>
      </c>
      <c r="C335" s="0" t="str">
        <f aca="false">_xlfn.XLOOKUP(A335,Item_Master!A:A,Item_Master!C:C)</f>
        <v>Paints &amp; Coatings</v>
      </c>
      <c r="D335" s="0" t="n">
        <f aca="false">SUMIFS(Sales!D:D,Sales!C:C,A335)</f>
        <v>81</v>
      </c>
      <c r="E335" s="3" t="n">
        <f aca="false">_xlfn.XLOOKUP(A335,Item_Master!A:A,Item_Master!G:G)</f>
        <v>710</v>
      </c>
      <c r="F335" s="3" t="n">
        <f aca="false">D335*E335</f>
        <v>57510</v>
      </c>
    </row>
    <row r="336" customFormat="false" ht="15" hidden="false" customHeight="false" outlineLevel="0" collapsed="false">
      <c r="A336" s="0" t="s">
        <v>676</v>
      </c>
      <c r="B336" s="0" t="str">
        <f aca="false">_xlfn.XLOOKUP(A336,Item_Master!A:A,Item_Master!B:B)</f>
        <v>Hafele Door Eye Standard</v>
      </c>
      <c r="C336" s="0" t="str">
        <f aca="false">_xlfn.XLOOKUP(A336,Item_Master!A:A,Item_Master!C:C)</f>
        <v>Hardware</v>
      </c>
      <c r="D336" s="0" t="n">
        <f aca="false">SUMIFS(Sales!D:D,Sales!C:C,A336)</f>
        <v>181</v>
      </c>
      <c r="E336" s="3" t="n">
        <f aca="false">_xlfn.XLOOKUP(A336,Item_Master!A:A,Item_Master!G:G)</f>
        <v>2200</v>
      </c>
      <c r="F336" s="3" t="n">
        <f aca="false">D336*E336</f>
        <v>398200</v>
      </c>
    </row>
    <row r="337" customFormat="false" ht="15" hidden="false" customHeight="false" outlineLevel="0" collapsed="false">
      <c r="A337" s="0" t="s">
        <v>677</v>
      </c>
      <c r="B337" s="0" t="str">
        <f aca="false">_xlfn.XLOOKUP(A337,Item_Master!A:A,Item_Master!B:B)</f>
        <v>Visko Tape Measure 8m</v>
      </c>
      <c r="C337" s="0" t="str">
        <f aca="false">_xlfn.XLOOKUP(A337,Item_Master!A:A,Item_Master!C:C)</f>
        <v>Hand Tools</v>
      </c>
      <c r="D337" s="0" t="n">
        <f aca="false">SUMIFS(Sales!D:D,Sales!C:C,A337)</f>
        <v>45</v>
      </c>
      <c r="E337" s="3" t="n">
        <f aca="false">_xlfn.XLOOKUP(A337,Item_Master!A:A,Item_Master!G:G)</f>
        <v>780</v>
      </c>
      <c r="F337" s="3" t="n">
        <f aca="false">D337*E337</f>
        <v>35100</v>
      </c>
    </row>
    <row r="338" customFormat="false" ht="15" hidden="false" customHeight="false" outlineLevel="0" collapsed="false">
      <c r="A338" s="0" t="s">
        <v>679</v>
      </c>
      <c r="B338" s="0" t="str">
        <f aca="false">_xlfn.XLOOKUP(A338,Item_Master!A:A,Item_Master!B:B)</f>
        <v>Berger Enamel Paint 1L</v>
      </c>
      <c r="C338" s="0" t="str">
        <f aca="false">_xlfn.XLOOKUP(A338,Item_Master!A:A,Item_Master!C:C)</f>
        <v>Paints &amp; Coatings</v>
      </c>
      <c r="D338" s="0" t="n">
        <f aca="false">SUMIFS(Sales!D:D,Sales!C:C,A338)</f>
        <v>38</v>
      </c>
      <c r="E338" s="3" t="n">
        <f aca="false">_xlfn.XLOOKUP(A338,Item_Master!A:A,Item_Master!G:G)</f>
        <v>2750</v>
      </c>
      <c r="F338" s="3" t="n">
        <f aca="false">D338*E338</f>
        <v>104500</v>
      </c>
    </row>
    <row r="339" customFormat="false" ht="15" hidden="false" customHeight="false" outlineLevel="0" collapsed="false">
      <c r="A339" s="0" t="s">
        <v>681</v>
      </c>
      <c r="B339" s="0" t="str">
        <f aca="false">_xlfn.XLOOKUP(A339,Item_Master!A:A,Item_Master!B:B)</f>
        <v>Finolex Teflon Tape 12mm</v>
      </c>
      <c r="C339" s="0" t="str">
        <f aca="false">_xlfn.XLOOKUP(A339,Item_Master!A:A,Item_Master!C:C)</f>
        <v>Plumbing</v>
      </c>
      <c r="D339" s="0" t="n">
        <f aca="false">SUMIFS(Sales!D:D,Sales!C:C,A339)</f>
        <v>72</v>
      </c>
      <c r="E339" s="3" t="n">
        <f aca="false">_xlfn.XLOOKUP(A339,Item_Master!A:A,Item_Master!G:G)</f>
        <v>1230</v>
      </c>
      <c r="F339" s="3" t="n">
        <f aca="false">D339*E339</f>
        <v>88560</v>
      </c>
    </row>
    <row r="340" customFormat="false" ht="15" hidden="false" customHeight="false" outlineLevel="0" collapsed="false">
      <c r="A340" s="0" t="s">
        <v>683</v>
      </c>
      <c r="B340" s="0" t="str">
        <f aca="false">_xlfn.XLOOKUP(A340,Item_Master!A:A,Item_Master!B:B)</f>
        <v>Stanley Spanner Set 8 pc</v>
      </c>
      <c r="C340" s="0" t="str">
        <f aca="false">_xlfn.XLOOKUP(A340,Item_Master!A:A,Item_Master!C:C)</f>
        <v>Hand Tools</v>
      </c>
      <c r="D340" s="0" t="n">
        <f aca="false">SUMIFS(Sales!D:D,Sales!C:C,A340)</f>
        <v>157</v>
      </c>
      <c r="E340" s="3" t="n">
        <f aca="false">_xlfn.XLOOKUP(A340,Item_Master!A:A,Item_Master!G:G)</f>
        <v>800</v>
      </c>
      <c r="F340" s="3" t="n">
        <f aca="false">D340*E340</f>
        <v>125600</v>
      </c>
    </row>
    <row r="341" customFormat="false" ht="15" hidden="false" customHeight="false" outlineLevel="0" collapsed="false">
      <c r="A341" s="0" t="s">
        <v>684</v>
      </c>
      <c r="B341" s="0" t="str">
        <f aca="false">_xlfn.XLOOKUP(A341,Item_Master!A:A,Item_Master!B:B)</f>
        <v>Visko Spirit Level 12 inch</v>
      </c>
      <c r="C341" s="0" t="str">
        <f aca="false">_xlfn.XLOOKUP(A341,Item_Master!A:A,Item_Master!C:C)</f>
        <v>Hand Tools</v>
      </c>
      <c r="D341" s="0" t="n">
        <f aca="false">SUMIFS(Sales!D:D,Sales!C:C,A341)</f>
        <v>46</v>
      </c>
      <c r="E341" s="3" t="n">
        <f aca="false">_xlfn.XLOOKUP(A341,Item_Master!A:A,Item_Master!G:G)</f>
        <v>2840</v>
      </c>
      <c r="F341" s="3" t="n">
        <f aca="false">D341*E341</f>
        <v>130640</v>
      </c>
    </row>
    <row r="342" customFormat="false" ht="15" hidden="false" customHeight="false" outlineLevel="0" collapsed="false">
      <c r="A342" s="0" t="s">
        <v>686</v>
      </c>
      <c r="B342" s="0" t="str">
        <f aca="false">_xlfn.XLOOKUP(A342,Item_Master!A:A,Item_Master!B:B)</f>
        <v>Asian Paints Enamel Paint 1L</v>
      </c>
      <c r="C342" s="0" t="str">
        <f aca="false">_xlfn.XLOOKUP(A342,Item_Master!A:A,Item_Master!C:C)</f>
        <v>Paints &amp; Coatings</v>
      </c>
      <c r="D342" s="0" t="n">
        <f aca="false">SUMIFS(Sales!D:D,Sales!C:C,A342)</f>
        <v>87</v>
      </c>
      <c r="E342" s="3" t="n">
        <f aca="false">_xlfn.XLOOKUP(A342,Item_Master!A:A,Item_Master!G:G)</f>
        <v>3490</v>
      </c>
      <c r="F342" s="3" t="n">
        <f aca="false">D342*E342</f>
        <v>303630</v>
      </c>
    </row>
    <row r="343" customFormat="false" ht="15" hidden="false" customHeight="false" outlineLevel="0" collapsed="false">
      <c r="A343" s="0" t="s">
        <v>688</v>
      </c>
      <c r="B343" s="0" t="str">
        <f aca="false">_xlfn.XLOOKUP(A343,Item_Master!A:A,Item_Master!B:B)</f>
        <v>Stanley Hammer Drill Heavy Duty</v>
      </c>
      <c r="C343" s="0" t="str">
        <f aca="false">_xlfn.XLOOKUP(A343,Item_Master!A:A,Item_Master!C:C)</f>
        <v>Power Tools</v>
      </c>
      <c r="D343" s="0" t="n">
        <f aca="false">SUMIFS(Sales!D:D,Sales!C:C,A343)</f>
        <v>165</v>
      </c>
      <c r="E343" s="3" t="n">
        <f aca="false">_xlfn.XLOOKUP(A343,Item_Master!A:A,Item_Master!G:G)</f>
        <v>9740</v>
      </c>
      <c r="F343" s="3" t="n">
        <f aca="false">D343*E343</f>
        <v>1607100</v>
      </c>
    </row>
    <row r="344" customFormat="false" ht="15" hidden="false" customHeight="false" outlineLevel="0" collapsed="false">
      <c r="A344" s="0" t="s">
        <v>690</v>
      </c>
      <c r="B344" s="0" t="str">
        <f aca="false">_xlfn.XLOOKUP(A344,Item_Master!A:A,Item_Master!B:B)</f>
        <v>Prince PVC Elbow 1 inch</v>
      </c>
      <c r="C344" s="0" t="str">
        <f aca="false">_xlfn.XLOOKUP(A344,Item_Master!A:A,Item_Master!C:C)</f>
        <v>Plumbing</v>
      </c>
      <c r="D344" s="0" t="n">
        <f aca="false">SUMIFS(Sales!D:D,Sales!C:C,A344)</f>
        <v>62</v>
      </c>
      <c r="E344" s="3" t="n">
        <f aca="false">_xlfn.XLOOKUP(A344,Item_Master!A:A,Item_Master!G:G)</f>
        <v>790</v>
      </c>
      <c r="F344" s="3" t="n">
        <f aca="false">D344*E344</f>
        <v>48980</v>
      </c>
    </row>
    <row r="345" customFormat="false" ht="15" hidden="false" customHeight="false" outlineLevel="0" collapsed="false">
      <c r="A345" s="0" t="s">
        <v>692</v>
      </c>
      <c r="B345" s="0" t="str">
        <f aca="false">_xlfn.XLOOKUP(A345,Item_Master!A:A,Item_Master!B:B)</f>
        <v>DeWalt Angle Grinder 9 inch</v>
      </c>
      <c r="C345" s="0" t="str">
        <f aca="false">_xlfn.XLOOKUP(A345,Item_Master!A:A,Item_Master!C:C)</f>
        <v>Power Tools</v>
      </c>
      <c r="D345" s="0" t="n">
        <f aca="false">SUMIFS(Sales!D:D,Sales!C:C,A345)</f>
        <v>39</v>
      </c>
      <c r="E345" s="3" t="n">
        <f aca="false">_xlfn.XLOOKUP(A345,Item_Master!A:A,Item_Master!G:G)</f>
        <v>3360</v>
      </c>
      <c r="F345" s="3" t="n">
        <f aca="false">D345*E345</f>
        <v>131040</v>
      </c>
    </row>
    <row r="346" customFormat="false" ht="15" hidden="false" customHeight="false" outlineLevel="0" collapsed="false">
      <c r="A346" s="0" t="s">
        <v>694</v>
      </c>
      <c r="B346" s="0" t="str">
        <f aca="false">_xlfn.XLOOKUP(A346,Item_Master!A:A,Item_Master!B:B)</f>
        <v>DeWalt Random Orbit Sander 150mm</v>
      </c>
      <c r="C346" s="0" t="str">
        <f aca="false">_xlfn.XLOOKUP(A346,Item_Master!A:A,Item_Master!C:C)</f>
        <v>Power Tools</v>
      </c>
      <c r="D346" s="0" t="n">
        <f aca="false">SUMIFS(Sales!D:D,Sales!C:C,A346)</f>
        <v>232</v>
      </c>
      <c r="E346" s="3" t="n">
        <f aca="false">_xlfn.XLOOKUP(A346,Item_Master!A:A,Item_Master!G:G)</f>
        <v>24910</v>
      </c>
      <c r="F346" s="3" t="n">
        <f aca="false">D346*E346</f>
        <v>5779120</v>
      </c>
    </row>
    <row r="347" customFormat="false" ht="15" hidden="false" customHeight="false" outlineLevel="0" collapsed="false">
      <c r="A347" s="0" t="s">
        <v>696</v>
      </c>
      <c r="B347" s="0" t="str">
        <f aca="false">_xlfn.XLOOKUP(A347,Item_Master!A:A,Item_Master!B:B)</f>
        <v>Fevicol Insulation Foam 750ml</v>
      </c>
      <c r="C347" s="0" t="str">
        <f aca="false">_xlfn.XLOOKUP(A347,Item_Master!A:A,Item_Master!C:C)</f>
        <v>Adhesives &amp; Sealants</v>
      </c>
      <c r="D347" s="0" t="n">
        <f aca="false">SUMIFS(Sales!D:D,Sales!C:C,A347)</f>
        <v>123</v>
      </c>
      <c r="E347" s="3" t="n">
        <f aca="false">_xlfn.XLOOKUP(A347,Item_Master!A:A,Item_Master!G:G)</f>
        <v>620</v>
      </c>
      <c r="F347" s="3" t="n">
        <f aca="false">D347*E347</f>
        <v>76260</v>
      </c>
    </row>
    <row r="348" customFormat="false" ht="15" hidden="false" customHeight="false" outlineLevel="0" collapsed="false">
      <c r="A348" s="0" t="s">
        <v>698</v>
      </c>
      <c r="B348" s="0" t="str">
        <f aca="false">_xlfn.XLOOKUP(A348,Item_Master!A:A,Item_Master!B:B)</f>
        <v>Hafele Door Hinge 4 inch</v>
      </c>
      <c r="C348" s="0" t="str">
        <f aca="false">_xlfn.XLOOKUP(A348,Item_Master!A:A,Item_Master!C:C)</f>
        <v>Hardware</v>
      </c>
      <c r="D348" s="0" t="n">
        <f aca="false">SUMIFS(Sales!D:D,Sales!C:C,A348)</f>
        <v>80</v>
      </c>
      <c r="E348" s="3" t="n">
        <f aca="false">_xlfn.XLOOKUP(A348,Item_Master!A:A,Item_Master!G:G)</f>
        <v>920</v>
      </c>
      <c r="F348" s="3" t="n">
        <f aca="false">D348*E348</f>
        <v>73600</v>
      </c>
    </row>
    <row r="349" customFormat="false" ht="15" hidden="false" customHeight="false" outlineLevel="0" collapsed="false">
      <c r="A349" s="0" t="s">
        <v>700</v>
      </c>
      <c r="B349" s="0" t="str">
        <f aca="false">_xlfn.XLOOKUP(A349,Item_Master!A:A,Item_Master!B:B)</f>
        <v>Bosch Heat Gun 2000W</v>
      </c>
      <c r="C349" s="0" t="str">
        <f aca="false">_xlfn.XLOOKUP(A349,Item_Master!A:A,Item_Master!C:C)</f>
        <v>Power Tools</v>
      </c>
      <c r="D349" s="0" t="n">
        <f aca="false">SUMIFS(Sales!D:D,Sales!C:C,A349)</f>
        <v>187</v>
      </c>
      <c r="E349" s="3" t="n">
        <f aca="false">_xlfn.XLOOKUP(A349,Item_Master!A:A,Item_Master!G:G)</f>
        <v>19230</v>
      </c>
      <c r="F349" s="3" t="n">
        <f aca="false">D349*E349</f>
        <v>3596010</v>
      </c>
    </row>
    <row r="350" customFormat="false" ht="15" hidden="false" customHeight="false" outlineLevel="0" collapsed="false">
      <c r="A350" s="0" t="s">
        <v>702</v>
      </c>
      <c r="B350" s="0" t="str">
        <f aca="false">_xlfn.XLOOKUP(A350,Item_Master!A:A,Item_Master!B:B)</f>
        <v>Europa Drawer Slide 12 inch</v>
      </c>
      <c r="C350" s="0" t="str">
        <f aca="false">_xlfn.XLOOKUP(A350,Item_Master!A:A,Item_Master!C:C)</f>
        <v>Hardware</v>
      </c>
      <c r="D350" s="0" t="n">
        <f aca="false">SUMIFS(Sales!D:D,Sales!C:C,A350)</f>
        <v>101</v>
      </c>
      <c r="E350" s="3" t="n">
        <f aca="false">_xlfn.XLOOKUP(A350,Item_Master!A:A,Item_Master!G:G)</f>
        <v>2310</v>
      </c>
      <c r="F350" s="3" t="n">
        <f aca="false">D350*E350</f>
        <v>233310</v>
      </c>
    </row>
    <row r="351" customFormat="false" ht="15" hidden="false" customHeight="false" outlineLevel="0" collapsed="false">
      <c r="A351" s="0" t="s">
        <v>704</v>
      </c>
      <c r="B351" s="0" t="str">
        <f aca="false">_xlfn.XLOOKUP(A351,Item_Master!A:A,Item_Master!B:B)</f>
        <v>GKW Wall Plugs 6mm</v>
      </c>
      <c r="C351" s="0" t="str">
        <f aca="false">_xlfn.XLOOKUP(A351,Item_Master!A:A,Item_Master!C:C)</f>
        <v>Fasteners</v>
      </c>
      <c r="D351" s="0" t="n">
        <f aca="false">SUMIFS(Sales!D:D,Sales!C:C,A351)</f>
        <v>89</v>
      </c>
      <c r="E351" s="3" t="n">
        <f aca="false">_xlfn.XLOOKUP(A351,Item_Master!A:A,Item_Master!G:G)</f>
        <v>460</v>
      </c>
      <c r="F351" s="3" t="n">
        <f aca="false">D351*E351</f>
        <v>40940</v>
      </c>
    </row>
    <row r="352" customFormat="false" ht="15" hidden="false" customHeight="false" outlineLevel="0" collapsed="false">
      <c r="A352" s="0" t="s">
        <v>706</v>
      </c>
      <c r="B352" s="0" t="str">
        <f aca="false">_xlfn.XLOOKUP(A352,Item_Master!A:A,Item_Master!B:B)</f>
        <v>Philips Ceiling Fan 52 inch</v>
      </c>
      <c r="C352" s="0" t="str">
        <f aca="false">_xlfn.XLOOKUP(A352,Item_Master!A:A,Item_Master!C:C)</f>
        <v>Electrical</v>
      </c>
      <c r="D352" s="0" t="n">
        <f aca="false">SUMIFS(Sales!D:D,Sales!C:C,A352)</f>
        <v>110</v>
      </c>
      <c r="E352" s="3" t="n">
        <f aca="false">_xlfn.XLOOKUP(A352,Item_Master!A:A,Item_Master!G:G)</f>
        <v>1230</v>
      </c>
      <c r="F352" s="3" t="n">
        <f aca="false">D352*E352</f>
        <v>135300</v>
      </c>
    </row>
    <row r="353" customFormat="false" ht="15" hidden="false" customHeight="false" outlineLevel="0" collapsed="false">
      <c r="A353" s="0" t="s">
        <v>707</v>
      </c>
      <c r="B353" s="0" t="str">
        <f aca="false">_xlfn.XLOOKUP(A353,Item_Master!A:A,Item_Master!B:B)</f>
        <v>Stanley Bench Grinder 6 inch</v>
      </c>
      <c r="C353" s="0" t="str">
        <f aca="false">_xlfn.XLOOKUP(A353,Item_Master!A:A,Item_Master!C:C)</f>
        <v>Power Tools</v>
      </c>
      <c r="D353" s="0" t="n">
        <f aca="false">SUMIFS(Sales!D:D,Sales!C:C,A353)</f>
        <v>14</v>
      </c>
      <c r="E353" s="3" t="n">
        <f aca="false">_xlfn.XLOOKUP(A353,Item_Master!A:A,Item_Master!G:G)</f>
        <v>12720</v>
      </c>
      <c r="F353" s="3" t="n">
        <f aca="false">D353*E353</f>
        <v>178080</v>
      </c>
    </row>
  </sheetData>
  <mergeCells count="1">
    <mergeCell ref="C1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S14" colorId="64" zoomScale="100" zoomScaleNormal="100" zoomScalePageLayoutView="100" workbookViewId="0">
      <selection pane="topLeft" activeCell="H6" activeCellId="0" sqref="H6:I15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8" style="0" width="3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4470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A4" s="5" t="s">
        <v>4471</v>
      </c>
      <c r="B4" s="5"/>
      <c r="D4" s="5" t="s">
        <v>4472</v>
      </c>
      <c r="E4" s="5"/>
      <c r="H4" s="5" t="s">
        <v>4473</v>
      </c>
      <c r="I4" s="5"/>
    </row>
    <row r="5" customFormat="false" ht="15" hidden="false" customHeight="false" outlineLevel="0" collapsed="false">
      <c r="A5" s="2" t="s">
        <v>3</v>
      </c>
      <c r="B5" s="2" t="s">
        <v>4469</v>
      </c>
      <c r="D5" s="2" t="s">
        <v>715</v>
      </c>
      <c r="E5" s="2" t="s">
        <v>4469</v>
      </c>
      <c r="H5" s="2" t="s">
        <v>4474</v>
      </c>
      <c r="I5" s="2" t="s">
        <v>4469</v>
      </c>
    </row>
    <row r="6" customFormat="false" ht="15" hidden="false" customHeight="false" outlineLevel="0" collapsed="false">
      <c r="A6" s="0" t="s">
        <v>53</v>
      </c>
      <c r="B6" s="3" t="n">
        <f aca="false">SUMIFS(Sales_Analysis!F:F,Sales_Analysis!C:C,A6)</f>
        <v>92946470</v>
      </c>
      <c r="D6" s="0" t="s">
        <v>4475</v>
      </c>
      <c r="E6" s="3" t="n">
        <f aca="false">SUMIFS(Sales!F:F,Sales!G:G,D6)</f>
        <v>18035400</v>
      </c>
      <c r="H6" s="6" t="str">
        <f aca="false">_xlfn.XLOOKUP(I6,Sales_Analysis!F:F,Sales_Analysis!B:B)</f>
        <v>Crompton Cordless Drill 20V Pro</v>
      </c>
      <c r="I6" s="3" t="n">
        <f aca="false">LARGE(Sales_Analysis!F:F,10)</f>
        <v>2930620</v>
      </c>
    </row>
    <row r="7" customFormat="false" ht="15" hidden="false" customHeight="false" outlineLevel="0" collapsed="false">
      <c r="A7" s="0" t="s">
        <v>23</v>
      </c>
      <c r="B7" s="3" t="n">
        <f aca="false">SUMIFS(Sales_Analysis!F:F,Sales_Analysis!C:C,A7)</f>
        <v>10622410</v>
      </c>
      <c r="D7" s="0" t="s">
        <v>4476</v>
      </c>
      <c r="E7" s="3" t="n">
        <f aca="false">SUMIFS(Sales!F:F,Sales!G:G,D7)</f>
        <v>19100730</v>
      </c>
      <c r="H7" s="6" t="str">
        <f aca="false">_xlfn.XLOOKUP(I7,Sales_Analysis!F:F,Sales_Analysis!B:B)</f>
        <v>Black &amp; Decker Reciprocating Saw Pro</v>
      </c>
      <c r="I7" s="3" t="n">
        <f aca="false">LARGE(Sales_Analysis!F:F,9)</f>
        <v>2999250</v>
      </c>
    </row>
    <row r="8" customFormat="false" ht="15" hidden="false" customHeight="false" outlineLevel="0" collapsed="false">
      <c r="A8" s="0" t="s">
        <v>15</v>
      </c>
      <c r="B8" s="3" t="n">
        <f aca="false">SUMIFS(Sales_Analysis!F:F,Sales_Analysis!C:C,A8)</f>
        <v>10526360</v>
      </c>
      <c r="D8" s="0" t="s">
        <v>4477</v>
      </c>
      <c r="E8" s="3" t="n">
        <f aca="false">SUMIFS(Sales!F:F,Sales!G:G,D8)</f>
        <v>20801620</v>
      </c>
      <c r="H8" s="6" t="str">
        <f aca="false">_xlfn.XLOOKUP(I8,Sales_Analysis!F:F,Sales_Analysis!B:B)</f>
        <v>Crompton Rotary Hammer SDS Plus</v>
      </c>
      <c r="I8" s="3" t="n">
        <f aca="false">LARGE(Sales_Analysis!F:F,8)</f>
        <v>3177680</v>
      </c>
    </row>
    <row r="9" customFormat="false" ht="15" hidden="false" customHeight="false" outlineLevel="0" collapsed="false">
      <c r="A9" s="0" t="s">
        <v>10</v>
      </c>
      <c r="B9" s="3" t="n">
        <f aca="false">SUMIFS(Sales_Analysis!F:F,Sales_Analysis!C:C,A9)</f>
        <v>7948370</v>
      </c>
      <c r="D9" s="0" t="s">
        <v>4478</v>
      </c>
      <c r="E9" s="3" t="n">
        <f aca="false">SUMIFS(Sales!F:F,Sales!G:G,D9)</f>
        <v>21612790</v>
      </c>
      <c r="H9" s="6" t="str">
        <f aca="false">_xlfn.XLOOKUP(I9,Sales_Analysis!F:F,Sales_Analysis!B:B)</f>
        <v>Stanley Hammer Drill Standard</v>
      </c>
      <c r="I9" s="3" t="n">
        <f aca="false">LARGE(Sales_Analysis!F:F,7)</f>
        <v>3412720</v>
      </c>
    </row>
    <row r="10" customFormat="false" ht="15" hidden="false" customHeight="false" outlineLevel="0" collapsed="false">
      <c r="A10" s="0" t="s">
        <v>85</v>
      </c>
      <c r="B10" s="3" t="n">
        <f aca="false">SUMIFS(Sales_Analysis!F:F,Sales_Analysis!C:C,A10)</f>
        <v>6288420</v>
      </c>
      <c r="D10" s="0" t="s">
        <v>4479</v>
      </c>
      <c r="E10" s="3" t="n">
        <f aca="false">SUMIFS(Sales!F:F,Sales!G:G,D10)</f>
        <v>16850780</v>
      </c>
      <c r="H10" s="6" t="str">
        <f aca="false">_xlfn.XLOOKUP(I10,Sales_Analysis!F:F,Sales_Analysis!B:B)</f>
        <v>Black &amp; Decker Cordless Drill 18V</v>
      </c>
      <c r="I10" s="3" t="n">
        <f aca="false">LARGE(Sales_Analysis!F:F,6)</f>
        <v>3433620</v>
      </c>
    </row>
    <row r="11" customFormat="false" ht="15" hidden="false" customHeight="false" outlineLevel="0" collapsed="false">
      <c r="A11" s="0" t="s">
        <v>28</v>
      </c>
      <c r="B11" s="3" t="n">
        <f aca="false">SUMIFS(Sales_Analysis!F:F,Sales_Analysis!C:C,A11)</f>
        <v>6161910</v>
      </c>
      <c r="D11" s="0" t="s">
        <v>4480</v>
      </c>
      <c r="E11" s="3" t="n">
        <f aca="false">SUMIFS(Sales!F:F,Sales!G:G,D11)</f>
        <v>51815790</v>
      </c>
      <c r="H11" s="6" t="str">
        <f aca="false">_xlfn.XLOOKUP(I11,Sales_Analysis!F:F,Sales_Analysis!B:B)</f>
        <v>Black &amp; Decker Reciprocating Saw Pro</v>
      </c>
      <c r="I11" s="3" t="n">
        <f aca="false">LARGE(Sales_Analysis!F:F,5)</f>
        <v>3520860</v>
      </c>
    </row>
    <row r="12" customFormat="false" ht="15" hidden="false" customHeight="false" outlineLevel="0" collapsed="false">
      <c r="A12" s="0" t="s">
        <v>66</v>
      </c>
      <c r="B12" s="3" t="n">
        <f aca="false">SUMIFS(Sales_Analysis!F:F,Sales_Analysis!C:C,A12)</f>
        <v>4763090</v>
      </c>
      <c r="H12" s="6" t="str">
        <f aca="false">_xlfn.XLOOKUP(I12,Sales_Analysis!F:F,Sales_Analysis!B:B)</f>
        <v>Bosch Heat Gun 2000W</v>
      </c>
      <c r="I12" s="3" t="n">
        <f aca="false">LARGE(Sales_Analysis!F:F,4)</f>
        <v>3596010</v>
      </c>
    </row>
    <row r="13" customFormat="false" ht="15" hidden="false" customHeight="false" outlineLevel="0" collapsed="false">
      <c r="A13" s="0" t="s">
        <v>19</v>
      </c>
      <c r="B13" s="3" t="n">
        <f aca="false">SUMIFS(Sales_Analysis!F:F,Sales_Analysis!C:C,A13)</f>
        <v>4465000</v>
      </c>
      <c r="H13" s="6" t="str">
        <f aca="false">_xlfn.XLOOKUP(I13,Sales_Analysis!F:F,Sales_Analysis!B:B)</f>
        <v>DeWalt Random Orbit Sander 125mm</v>
      </c>
      <c r="I13" s="3" t="n">
        <f aca="false">LARGE(Sales_Analysis!F:F,3)</f>
        <v>5055680</v>
      </c>
    </row>
    <row r="14" customFormat="false" ht="15" hidden="false" customHeight="false" outlineLevel="0" collapsed="false">
      <c r="A14" s="0" t="s">
        <v>39</v>
      </c>
      <c r="B14" s="3" t="n">
        <f aca="false">SUMIFS(Sales_Analysis!F:F,Sales_Analysis!C:C,A14)</f>
        <v>3272350</v>
      </c>
      <c r="H14" s="6" t="str">
        <f aca="false">_xlfn.XLOOKUP(I14,Sales_Analysis!F:F,Sales_Analysis!B:B)</f>
        <v>DeWalt Random Orbit Sander 150mm</v>
      </c>
      <c r="I14" s="3" t="n">
        <f aca="false">LARGE(Sales_Analysis!F:F,2)</f>
        <v>5779120</v>
      </c>
    </row>
    <row r="15" customFormat="false" ht="15" hidden="false" customHeight="false" outlineLevel="0" collapsed="false">
      <c r="A15" s="0" t="s">
        <v>73</v>
      </c>
      <c r="B15" s="3" t="n">
        <f aca="false">SUMIFS(Sales_Analysis!F:F,Sales_Analysis!C:C,A15)</f>
        <v>1222730</v>
      </c>
      <c r="H15" s="0" t="str">
        <f aca="false">_xlfn.XLOOKUP(I15,Sales_Analysis!F:F,Sales_Analysis!B:B)</f>
        <v>DeWalt Bench Grinder 8 inch</v>
      </c>
      <c r="I15" s="3" t="n">
        <f aca="false">LARGE(Sales_Analysis!F:F,1)</f>
        <v>6835710</v>
      </c>
    </row>
  </sheetData>
  <mergeCells count="4">
    <mergeCell ref="A1:I2"/>
    <mergeCell ref="A4:B4"/>
    <mergeCell ref="D4:E4"/>
    <mergeCell ref="H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1" sqref="H6:I15 B13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7" t="s">
        <v>4481</v>
      </c>
      <c r="B1" s="7" t="s">
        <v>4482</v>
      </c>
    </row>
    <row r="2" customFormat="false" ht="12.8" hidden="false" customHeight="false" outlineLevel="0" collapsed="false">
      <c r="A2" s="0" t="s">
        <v>4483</v>
      </c>
      <c r="B2" s="0" t="n">
        <v>10</v>
      </c>
    </row>
    <row r="3" customFormat="false" ht="12.8" hidden="false" customHeight="false" outlineLevel="0" collapsed="false">
      <c r="A3" s="0" t="s">
        <v>4484</v>
      </c>
      <c r="B3" s="0" t="n">
        <v>6</v>
      </c>
    </row>
    <row r="4" customFormat="false" ht="12.8" hidden="false" customHeight="false" outlineLevel="0" collapsed="false">
      <c r="A4" s="0" t="s">
        <v>4485</v>
      </c>
      <c r="B4" s="0" t="n">
        <v>18</v>
      </c>
    </row>
    <row r="5" customFormat="false" ht="12.8" hidden="false" customHeight="false" outlineLevel="0" collapsed="false">
      <c r="A5" s="0" t="s">
        <v>4486</v>
      </c>
      <c r="B5" s="0" t="n">
        <v>3</v>
      </c>
    </row>
    <row r="9" customFormat="false" ht="13.8" hidden="false" customHeight="false" outlineLevel="0" collapsed="false">
      <c r="A9" s="0" t="s">
        <v>4487</v>
      </c>
      <c r="B9" s="0" t="n">
        <f aca="false">LARGE(B2:B5, 1)</f>
        <v>18</v>
      </c>
    </row>
    <row r="10" customFormat="false" ht="13.8" hidden="false" customHeight="false" outlineLevel="0" collapsed="false">
      <c r="A10" s="0" t="s">
        <v>4488</v>
      </c>
      <c r="B10" s="0" t="n">
        <f aca="false">LARGE(B2:B5, 2)</f>
        <v>10</v>
      </c>
    </row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858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2026-06-09T13:42:05Z</dcterms:created>
  <dc:creator>openpyxl</dc:creator>
  <dc:description/>
  <dc:language>en-IN</dc:language>
  <cp:lastModifiedBy/>
  <dcterms:modified xsi:type="dcterms:W3CDTF">2026-06-10T14:52:50Z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